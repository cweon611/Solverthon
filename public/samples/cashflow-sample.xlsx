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거래내역" sheetId="1" state="visible" r:id="rId3"/>
    <sheet name="월별 요약" sheetId="2" state="visible" r:id="rId4"/>
    <sheet name="안내" sheetId="3" state="visible" r:id="rId5"/>
  </sheets>
  <definedNames>
    <definedName function="false" hidden="true" localSheetId="0" name="_xlnm._FilterDatabase" vbProcedure="false">거래내역!$A$1:$G$184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Noto Sans CJK SC"/>
            <family val="2"/>
          </rPr>
          <t xml:space="preserve">잔액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월별 요약</t>
        </r>
        <r>
          <rPr>
            <sz val="10"/>
            <rFont val="Arial"/>
            <family val="2"/>
          </rPr>
          <t xml:space="preserve">!B3(</t>
        </r>
        <r>
          <rPr>
            <sz val="10"/>
            <rFont val="Noto Sans CJK SC"/>
            <family val="2"/>
          </rPr>
          <t xml:space="preserve">기초 잔액</t>
        </r>
        <r>
          <rPr>
            <sz val="10"/>
            <rFont val="Arial"/>
            <family val="2"/>
          </rPr>
          <t xml:space="preserve">) + </t>
        </r>
        <r>
          <rPr>
            <sz val="10"/>
            <rFont val="Noto Sans CJK SC"/>
            <family val="2"/>
          </rPr>
          <t xml:space="preserve">누적 입금 − 누적 출금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수식 열이므로 직접 입력하지 마세요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Noto Sans CJK SC"/>
            <family val="2"/>
          </rPr>
          <t xml:space="preserve">입력값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기초 현금 잔액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가상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 xml:space="preserve">이 값을 바꾸면 거래내역의 잔액 열과 아래 월말 잔액이 모두 재계산됩니다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브릿지 화면의 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Noto Sans CJK SC"/>
            <family val="2"/>
          </rPr>
          <t xml:space="preserve">기초 잔액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원</t>
        </r>
        <r>
          <rPr>
            <sz val="10"/>
            <rFont val="Arial"/>
            <family val="2"/>
          </rPr>
          <t xml:space="preserve">)" </t>
        </r>
        <r>
          <rPr>
            <sz val="10"/>
            <rFont val="Noto Sans CJK SC"/>
            <family val="2"/>
          </rPr>
          <t xml:space="preserve">칸에도 같은 값을 넣으세요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<sst xmlns="http://schemas.openxmlformats.org/spreadsheetml/2006/main" count="624" uniqueCount="121">
  <si>
    <t xml:space="preserve">일자</t>
  </si>
  <si>
    <t xml:space="preserve">구분</t>
  </si>
  <si>
    <t xml:space="preserve">항목</t>
  </si>
  <si>
    <t xml:space="preserve">적요</t>
  </si>
  <si>
    <t xml:space="preserve">입금</t>
  </si>
  <si>
    <t xml:space="preserve">출금</t>
  </si>
  <si>
    <t xml:space="preserve">잔액</t>
  </si>
  <si>
    <t xml:space="preserve">기타</t>
  </si>
  <si>
    <t xml:space="preserve">클라우드 서버 이용료</t>
  </si>
  <si>
    <t xml:space="preserve">임차료</t>
  </si>
  <si>
    <t xml:space="preserve">사무실 임차료</t>
  </si>
  <si>
    <t xml:space="preserve">사무실 관리비</t>
  </si>
  <si>
    <r>
      <rPr>
        <sz val="10"/>
        <rFont val="Noto Sans CJK SC"/>
        <family val="2"/>
      </rPr>
      <t xml:space="preserve">협업 </t>
    </r>
    <r>
      <rPr>
        <sz val="10"/>
        <rFont val="Malgun Gothic"/>
        <family val="0"/>
        <charset val="1"/>
      </rPr>
      <t xml:space="preserve">SaaS </t>
    </r>
    <r>
      <rPr>
        <sz val="10"/>
        <rFont val="Noto Sans CJK SC"/>
        <family val="2"/>
      </rPr>
      <t xml:space="preserve">구독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메신저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문서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저장소</t>
    </r>
    <r>
      <rPr>
        <sz val="10"/>
        <rFont val="Malgun Gothic"/>
        <family val="0"/>
        <charset val="1"/>
      </rPr>
      <t xml:space="preserve">)</t>
    </r>
  </si>
  <si>
    <t xml:space="preserve">매출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</si>
  <si>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A</t>
    </r>
    <r>
      <rPr>
        <sz val="10"/>
        <rFont val="Noto Sans CJK SC"/>
        <family val="2"/>
      </rPr>
      <t xml:space="preserve">사 커머스 고도화 잔금</t>
    </r>
  </si>
  <si>
    <t xml:space="preserve">보험</t>
  </si>
  <si>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</rPr>
      <t xml:space="preserve">대보험 납부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회사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근로자분</t>
    </r>
    <r>
      <rPr>
        <sz val="10"/>
        <rFont val="Malgun Gothic"/>
        <family val="0"/>
        <charset val="1"/>
      </rPr>
      <t xml:space="preserve">)</t>
    </r>
  </si>
  <si>
    <t xml:space="preserve">세금공과</t>
  </si>
  <si>
    <r>
      <rPr>
        <sz val="10"/>
        <rFont val="Noto Sans CJK SC"/>
        <family val="2"/>
      </rPr>
      <t xml:space="preserve">원천세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지방소득세 납부</t>
    </r>
  </si>
  <si>
    <r>
      <rPr>
        <sz val="10"/>
        <rFont val="Noto Sans CJK SC"/>
        <family val="2"/>
      </rPr>
      <t xml:space="preserve">통신비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인터넷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휴대폰</t>
    </r>
    <r>
      <rPr>
        <sz val="10"/>
        <rFont val="Malgun Gothic"/>
        <family val="0"/>
        <charset val="1"/>
      </rPr>
      <t xml:space="preserve">)</t>
    </r>
  </si>
  <si>
    <t xml:space="preserve">마케팅</t>
  </si>
  <si>
    <r>
      <rPr>
        <sz val="10"/>
        <rFont val="Noto Sans CJK SC"/>
        <family val="2"/>
      </rPr>
      <t xml:space="preserve">온라인 광고비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검색</t>
    </r>
    <r>
      <rPr>
        <sz val="10"/>
        <rFont val="Malgun Gothic"/>
        <family val="0"/>
        <charset val="1"/>
      </rPr>
      <t xml:space="preserve">·SNS)</t>
    </r>
  </si>
  <si>
    <t xml:space="preserve">영업배상책임보험 연납</t>
  </si>
  <si>
    <r>
      <rPr>
        <sz val="10"/>
        <rFont val="Noto Sans CJK SC"/>
        <family val="2"/>
      </rPr>
      <t xml:space="preserve">매입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원재료</t>
    </r>
  </si>
  <si>
    <r>
      <rPr>
        <sz val="10"/>
        <rFont val="Noto Sans CJK SC"/>
        <family val="2"/>
      </rPr>
      <t xml:space="preserve">개발 소프트웨어 라이선스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소모품</t>
    </r>
  </si>
  <si>
    <t xml:space="preserve">인건비</t>
  </si>
  <si>
    <r>
      <rPr>
        <sz val="10"/>
        <rFont val="Noto Sans CJK SC"/>
        <family val="2"/>
      </rPr>
      <t xml:space="preserve">급여 지급 </t>
    </r>
    <r>
      <rPr>
        <sz val="10"/>
        <rFont val="Malgun Gothic"/>
        <family val="0"/>
        <charset val="1"/>
      </rPr>
      <t xml:space="preserve">(4</t>
    </r>
    <r>
      <rPr>
        <sz val="10"/>
        <rFont val="Noto Sans CJK SC"/>
        <family val="2"/>
      </rPr>
      <t xml:space="preserve">명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실수령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</si>
  <si>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식대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복리후생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</si>
  <si>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유지보수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월 정액 </t>
    </r>
    <r>
      <rPr>
        <sz val="10"/>
        <rFont val="Malgun Gothic"/>
        <family val="0"/>
        <charset val="1"/>
      </rPr>
      <t xml:space="preserve">(3</t>
    </r>
    <r>
      <rPr>
        <sz val="10"/>
        <rFont val="Noto Sans CJK SC"/>
        <family val="2"/>
      </rPr>
      <t xml:space="preserve">개사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</si>
  <si>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B</t>
    </r>
    <r>
      <rPr>
        <sz val="10"/>
        <rFont val="Noto Sans CJK SC"/>
        <family val="2"/>
      </rPr>
      <t xml:space="preserve">사 </t>
    </r>
    <r>
      <rPr>
        <sz val="10"/>
        <rFont val="Malgun Gothic"/>
        <family val="0"/>
        <charset val="1"/>
      </rPr>
      <t xml:space="preserve">ERP </t>
    </r>
    <r>
      <rPr>
        <sz val="10"/>
        <rFont val="Noto Sans CJK SC"/>
        <family val="2"/>
      </rPr>
      <t xml:space="preserve">연동 계약금</t>
    </r>
  </si>
  <si>
    <t xml:space="preserve">외주</t>
  </si>
  <si>
    <r>
      <rPr>
        <sz val="10"/>
        <rFont val="Malgun Gothic"/>
        <family val="0"/>
        <charset val="1"/>
      </rPr>
      <t xml:space="preserve">UI </t>
    </r>
    <r>
      <rPr>
        <sz val="10"/>
        <rFont val="Noto Sans CJK SC"/>
        <family val="2"/>
      </rPr>
      <t xml:space="preserve">디자인 외주</t>
    </r>
  </si>
  <si>
    <r>
      <rPr>
        <sz val="10"/>
        <rFont val="Noto Sans CJK SC"/>
        <family val="2"/>
      </rPr>
      <t xml:space="preserve">부가가치세 신고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납부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</si>
  <si>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C</t>
    </r>
    <r>
      <rPr>
        <sz val="10"/>
        <rFont val="Noto Sans CJK SC"/>
        <family val="2"/>
      </rPr>
      <t xml:space="preserve">사 관리자 대시보드 중도금</t>
    </r>
  </si>
  <si>
    <t xml:space="preserve">장비</t>
  </si>
  <si>
    <r>
      <rPr>
        <sz val="10"/>
        <rFont val="Noto Sans CJK SC"/>
        <family val="2"/>
      </rPr>
      <t xml:space="preserve">개발용 노트북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대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</si>
  <si>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B</t>
    </r>
    <r>
      <rPr>
        <sz val="10"/>
        <rFont val="Noto Sans CJK SC"/>
        <family val="2"/>
      </rPr>
      <t xml:space="preserve">사 </t>
    </r>
    <r>
      <rPr>
        <sz val="10"/>
        <rFont val="Malgun Gothic"/>
        <family val="0"/>
        <charset val="1"/>
      </rPr>
      <t xml:space="preserve">ERP </t>
    </r>
    <r>
      <rPr>
        <sz val="10"/>
        <rFont val="Noto Sans CJK SC"/>
        <family val="2"/>
      </rPr>
      <t xml:space="preserve">연동 중도금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</si>
  <si>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A</t>
    </r>
    <r>
      <rPr>
        <sz val="10"/>
        <rFont val="Noto Sans CJK SC"/>
        <family val="2"/>
      </rPr>
      <t xml:space="preserve">사 유지보수 개발 추가 과업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</si>
  <si>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H</t>
    </r>
    <r>
      <rPr>
        <sz val="10"/>
        <rFont val="Noto Sans CJK SC"/>
        <family val="2"/>
      </rPr>
      <t xml:space="preserve">사 </t>
    </r>
    <r>
      <rPr>
        <sz val="10"/>
        <rFont val="Malgun Gothic"/>
        <family val="0"/>
        <charset val="1"/>
      </rPr>
      <t xml:space="preserve">SI </t>
    </r>
    <r>
      <rPr>
        <sz val="10"/>
        <rFont val="Noto Sans CJK SC"/>
        <family val="2"/>
      </rPr>
      <t xml:space="preserve">소규모 계약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</si>
  <si>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C</t>
    </r>
    <r>
      <rPr>
        <sz val="10"/>
        <rFont val="Noto Sans CJK SC"/>
        <family val="2"/>
      </rPr>
      <t xml:space="preserve">사 관리자 대시보드 잔금</t>
    </r>
  </si>
  <si>
    <t xml:space="preserve">예금 이자</t>
  </si>
  <si>
    <r>
      <rPr>
        <sz val="10"/>
        <rFont val="Malgun Gothic"/>
        <family val="0"/>
        <charset val="1"/>
      </rPr>
      <t xml:space="preserve">QA </t>
    </r>
    <r>
      <rPr>
        <sz val="10"/>
        <rFont val="Noto Sans CJK SC"/>
        <family val="2"/>
      </rPr>
      <t xml:space="preserve">테스트 외주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</si>
  <si>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D</t>
    </r>
    <r>
      <rPr>
        <sz val="10"/>
        <rFont val="Noto Sans CJK SC"/>
        <family val="2"/>
      </rPr>
      <t xml:space="preserve">사 모바일앱 계약금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</si>
  <si>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C</t>
    </r>
    <r>
      <rPr>
        <sz val="10"/>
        <rFont val="Noto Sans CJK SC"/>
        <family val="2"/>
      </rPr>
      <t xml:space="preserve">사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차 고도화 계약금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</si>
  <si>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B</t>
    </r>
    <r>
      <rPr>
        <sz val="10"/>
        <rFont val="Noto Sans CJK SC"/>
        <family val="2"/>
      </rPr>
      <t xml:space="preserve">사 </t>
    </r>
    <r>
      <rPr>
        <sz val="10"/>
        <rFont val="Malgun Gothic"/>
        <family val="0"/>
        <charset val="1"/>
      </rPr>
      <t xml:space="preserve">ERP </t>
    </r>
    <r>
      <rPr>
        <sz val="10"/>
        <rFont val="Noto Sans CJK SC"/>
        <family val="2"/>
      </rPr>
      <t xml:space="preserve">연동 잔금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</si>
  <si>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D</t>
    </r>
    <r>
      <rPr>
        <sz val="10"/>
        <rFont val="Noto Sans CJK SC"/>
        <family val="2"/>
      </rPr>
      <t xml:space="preserve">사 모바일앱 중도금</t>
    </r>
  </si>
  <si>
    <t xml:space="preserve">지원금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</si>
  <si>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지원사업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사업화 자금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차 지급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가상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</si>
  <si>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앱 아이콘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그래픽 외주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</si>
  <si>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D</t>
    </r>
    <r>
      <rPr>
        <sz val="10"/>
        <rFont val="Noto Sans CJK SC"/>
        <family val="2"/>
      </rPr>
      <t xml:space="preserve">사 앱 유지관리 계약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반기 선납</t>
    </r>
    <r>
      <rPr>
        <sz val="10"/>
        <rFont val="Malgun Gothic"/>
        <family val="0"/>
        <charset val="1"/>
      </rPr>
      <t xml:space="preserve">)</t>
    </r>
  </si>
  <si>
    <t xml:space="preserve">법인 등기 변경 수수료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</si>
  <si>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E</t>
    </r>
    <r>
      <rPr>
        <sz val="10"/>
        <rFont val="Noto Sans CJK SC"/>
        <family val="2"/>
      </rPr>
      <t xml:space="preserve">사 데이터 파이프라인 계약금</t>
    </r>
  </si>
  <si>
    <r>
      <rPr>
        <sz val="10"/>
        <rFont val="Noto Sans CJK SC"/>
        <family val="2"/>
      </rPr>
      <t xml:space="preserve">법인세 신고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납부 </t>
    </r>
    <r>
      <rPr>
        <sz val="10"/>
        <rFont val="Malgun Gothic"/>
        <family val="0"/>
        <charset val="1"/>
      </rPr>
      <t xml:space="preserve">(2025 </t>
    </r>
    <r>
      <rPr>
        <sz val="10"/>
        <rFont val="Noto Sans CJK SC"/>
        <family val="2"/>
      </rPr>
      <t xml:space="preserve">사업연도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</si>
  <si>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모니터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주변기기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</si>
  <si>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D</t>
    </r>
    <r>
      <rPr>
        <sz val="10"/>
        <rFont val="Noto Sans CJK SC"/>
        <family val="2"/>
      </rPr>
      <t xml:space="preserve">사 모바일앱 잔금</t>
    </r>
  </si>
  <si>
    <t xml:space="preserve">백엔드 개발 외주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</si>
  <si>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H</t>
    </r>
    <r>
      <rPr>
        <sz val="10"/>
        <rFont val="Noto Sans CJK SC"/>
        <family val="2"/>
      </rPr>
      <t xml:space="preserve">사 </t>
    </r>
    <r>
      <rPr>
        <sz val="10"/>
        <rFont val="Malgun Gothic"/>
        <family val="0"/>
        <charset val="1"/>
      </rPr>
      <t xml:space="preserve">SI </t>
    </r>
    <r>
      <rPr>
        <sz val="10"/>
        <rFont val="Noto Sans CJK SC"/>
        <family val="2"/>
      </rPr>
      <t xml:space="preserve">잔금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</si>
  <si>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E</t>
    </r>
    <r>
      <rPr>
        <sz val="10"/>
        <rFont val="Noto Sans CJK SC"/>
        <family val="2"/>
      </rPr>
      <t xml:space="preserve">사 데이터 파이프라인 중도금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</si>
  <si>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유지보수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월 정액 </t>
    </r>
    <r>
      <rPr>
        <sz val="10"/>
        <rFont val="Malgun Gothic"/>
        <family val="0"/>
        <charset val="1"/>
      </rPr>
      <t xml:space="preserve">(1</t>
    </r>
    <r>
      <rPr>
        <sz val="10"/>
        <rFont val="Noto Sans CJK SC"/>
        <family val="2"/>
      </rPr>
      <t xml:space="preserve">개사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</si>
  <si>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F</t>
    </r>
    <r>
      <rPr>
        <sz val="10"/>
        <rFont val="Noto Sans CJK SC"/>
        <family val="2"/>
      </rPr>
      <t xml:space="preserve">사 랜딩페이지 제작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</si>
  <si>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I</t>
    </r>
    <r>
      <rPr>
        <sz val="10"/>
        <rFont val="Noto Sans CJK SC"/>
        <family val="2"/>
      </rPr>
      <t xml:space="preserve">사 홈페이지 리뉴얼 계약금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</si>
  <si>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E</t>
    </r>
    <r>
      <rPr>
        <sz val="10"/>
        <rFont val="Noto Sans CJK SC"/>
        <family val="2"/>
      </rPr>
      <t xml:space="preserve">사 데이터 파이프라인 잔금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일부</t>
    </r>
    <r>
      <rPr>
        <sz val="10"/>
        <rFont val="Malgun Gothic"/>
        <family val="0"/>
        <charset val="1"/>
      </rPr>
      <t xml:space="preserve">)</t>
    </r>
  </si>
  <si>
    <t xml:space="preserve">영상 광고 제작 외주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</si>
  <si>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프로젝트</t>
    </r>
    <r>
      <rPr>
        <sz val="10"/>
        <rFont val="Malgun Gothic"/>
        <family val="0"/>
        <charset val="1"/>
      </rPr>
      <t xml:space="preserve">] G</t>
    </r>
    <r>
      <rPr>
        <sz val="10"/>
        <rFont val="Noto Sans CJK SC"/>
        <family val="2"/>
      </rPr>
      <t xml:space="preserve">사 챗봇 </t>
    </r>
    <r>
      <rPr>
        <sz val="10"/>
        <rFont val="Malgun Gothic"/>
        <family val="0"/>
        <charset val="1"/>
      </rPr>
      <t xml:space="preserve">PoC </t>
    </r>
    <r>
      <rPr>
        <sz val="10"/>
        <rFont val="Noto Sans CJK SC"/>
        <family val="2"/>
      </rPr>
      <t xml:space="preserve">계약금</t>
    </r>
  </si>
  <si>
    <t xml:space="preserve">주민세 사업소분</t>
  </si>
  <si>
    <r>
      <rPr>
        <b val="true"/>
        <sz val="12"/>
        <rFont val="Noto Sans CJK SC"/>
        <family val="2"/>
      </rPr>
      <t xml:space="preserve">월별 현금흐름 요약 </t>
    </r>
    <r>
      <rPr>
        <b val="true"/>
        <sz val="12"/>
        <rFont val="Malgun Gothic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단위</t>
    </r>
    <r>
      <rPr>
        <b val="true"/>
        <sz val="12"/>
        <rFont val="Malgun Gothic"/>
        <family val="0"/>
        <charset val="1"/>
      </rPr>
      <t xml:space="preserve">: </t>
    </r>
    <r>
      <rPr>
        <b val="true"/>
        <sz val="12"/>
        <rFont val="Noto Sans CJK SC"/>
        <family val="2"/>
      </rPr>
      <t xml:space="preserve">원</t>
    </r>
    <r>
      <rPr>
        <b val="true"/>
        <sz val="12"/>
        <rFont val="Malgun Gothic"/>
        <family val="0"/>
        <charset val="1"/>
      </rPr>
      <t xml:space="preserve">)</t>
    </r>
  </si>
  <si>
    <r>
      <rPr>
        <sz val="9"/>
        <color rgb="FF888888"/>
        <rFont val="Noto Sans CJK SC"/>
        <family val="2"/>
      </rPr>
      <t xml:space="preserve">거래내역 시트를 </t>
    </r>
    <r>
      <rPr>
        <sz val="9"/>
        <color rgb="FF888888"/>
        <rFont val="Malgun Gothic"/>
        <family val="0"/>
        <charset val="1"/>
      </rPr>
      <t xml:space="preserve">SUMIFS</t>
    </r>
    <r>
      <rPr>
        <sz val="9"/>
        <color rgb="FF888888"/>
        <rFont val="Noto Sans CJK SC"/>
        <family val="2"/>
      </rPr>
      <t xml:space="preserve">로 집계합니다</t>
    </r>
    <r>
      <rPr>
        <sz val="9"/>
        <color rgb="FF888888"/>
        <rFont val="Malgun Gothic"/>
        <family val="0"/>
        <charset val="1"/>
      </rPr>
      <t xml:space="preserve">. </t>
    </r>
    <r>
      <rPr>
        <sz val="9"/>
        <color rgb="FF888888"/>
        <rFont val="Noto Sans CJK SC"/>
        <family val="2"/>
      </rPr>
      <t xml:space="preserve">노란 셀만 입력값이고 나머지는 전부 수식입니다</t>
    </r>
    <r>
      <rPr>
        <sz val="9"/>
        <color rgb="FF888888"/>
        <rFont val="Malgun Gothic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</si>
  <si>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기초 잔액 </t>
    </r>
    <r>
      <rPr>
        <b val="true"/>
        <sz val="10"/>
        <rFont val="Malgun Gothic"/>
        <family val="0"/>
        <charset val="1"/>
      </rPr>
      <t xml:space="preserve">(2025-09-01, </t>
    </r>
    <r>
      <rPr>
        <b val="true"/>
        <sz val="10"/>
        <rFont val="Noto Sans CJK SC"/>
        <family val="2"/>
      </rPr>
      <t xml:space="preserve">입력값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가상</t>
    </r>
    <r>
      <rPr>
        <b val="true"/>
        <sz val="10"/>
        <rFont val="Malgun Gothic"/>
        <family val="0"/>
        <charset val="1"/>
      </rPr>
      <t xml:space="preserve">)</t>
    </r>
  </si>
  <si>
    <t xml:space="preserve">← 브릿지 「현금흐름 진단」의 기초 잔액 입력칸에 이 값을 넣으세요</t>
  </si>
  <si>
    <t xml:space="preserve">월</t>
  </si>
  <si>
    <t xml:space="preserve">시작일</t>
  </si>
  <si>
    <t xml:space="preserve">종료일</t>
  </si>
  <si>
    <t xml:space="preserve">입금 합계</t>
  </si>
  <si>
    <t xml:space="preserve">출금 합계</t>
  </si>
  <si>
    <t xml:space="preserve">순현금흐름</t>
  </si>
  <si>
    <t xml:space="preserve">월말 잔액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</si>
  <si>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</si>
  <si>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</si>
  <si>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</si>
  <si>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</si>
  <si>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</si>
  <si>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</si>
  <si>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</si>
  <si>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</si>
  <si>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</si>
  <si>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</si>
  <si>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</si>
  <si>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</si>
  <si>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합계</t>
  </si>
  <si>
    <t xml:space="preserve">핵심 지표</t>
  </si>
  <si>
    <r>
      <rPr>
        <sz val="10"/>
        <rFont val="Noto Sans CJK SC"/>
        <family val="2"/>
      </rPr>
      <t xml:space="preserve">현재 잔액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거래내역 마지막 잔액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</si>
  <si>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최근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개월 평균 순현금흐름</t>
    </r>
  </si>
  <si>
    <r>
      <rPr>
        <sz val="10"/>
        <rFont val="Noto Sans CJK SC"/>
        <family val="2"/>
      </rPr>
      <t xml:space="preserve">월평균 순유출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번레이트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</si>
  <si>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런웨이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개월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</si>
  <si>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건강도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규칙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</si>
  <si>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런웨이 기준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개월</t>
    </r>
    <r>
      <rPr>
        <sz val="10"/>
        <rFont val="Malgun Gothic"/>
        <family val="0"/>
        <charset val="1"/>
      </rPr>
      <t xml:space="preserve">)</t>
    </r>
  </si>
  <si>
    <r>
      <rPr>
        <sz val="9"/>
        <color rgb="FF888888"/>
        <rFont val="Noto Sans CJK SC"/>
        <family val="2"/>
      </rPr>
      <t xml:space="preserve">위험 </t>
    </r>
    <r>
      <rPr>
        <sz val="9"/>
        <color rgb="FF888888"/>
        <rFont val="Malgun Gothic"/>
        <family val="0"/>
        <charset val="1"/>
      </rPr>
      <t xml:space="preserve">&lt;3 · </t>
    </r>
    <r>
      <rPr>
        <sz val="9"/>
        <color rgb="FF888888"/>
        <rFont val="Noto Sans CJK SC"/>
        <family val="2"/>
      </rPr>
      <t xml:space="preserve">주의 </t>
    </r>
    <r>
      <rPr>
        <sz val="9"/>
        <color rgb="FF888888"/>
        <rFont val="Malgun Gothic"/>
        <family val="0"/>
        <charset val="1"/>
      </rPr>
      <t xml:space="preserve">&lt;6 · </t>
    </r>
    <r>
      <rPr>
        <sz val="9"/>
        <color rgb="FF888888"/>
        <rFont val="Noto Sans CJK SC"/>
        <family val="2"/>
      </rPr>
      <t xml:space="preserve">안정 ≥</t>
    </r>
    <r>
      <rPr>
        <sz val="9"/>
        <color rgb="FF888888"/>
        <rFont val="Malgun Gothic"/>
        <family val="0"/>
        <charset val="1"/>
      </rPr>
      <t xml:space="preserve">6</t>
    </r>
  </si>
  <si>
    <r>
      <rPr>
        <sz val="9"/>
        <color rgb="FF888888"/>
        <rFont val="Noto Sans CJK SC"/>
        <family val="2"/>
      </rPr>
      <t xml:space="preserve">※ 런웨이 </t>
    </r>
    <r>
      <rPr>
        <sz val="9"/>
        <color rgb="FF888888"/>
        <rFont val="Malgun Gothic"/>
        <family val="0"/>
        <charset val="1"/>
      </rPr>
      <t xml:space="preserve">= </t>
    </r>
    <r>
      <rPr>
        <sz val="9"/>
        <color rgb="FF888888"/>
        <rFont val="Noto Sans CJK SC"/>
        <family val="2"/>
      </rPr>
      <t xml:space="preserve">현재 잔액 </t>
    </r>
    <r>
      <rPr>
        <sz val="9"/>
        <color rgb="FF888888"/>
        <rFont val="Malgun Gothic"/>
        <family val="0"/>
        <charset val="1"/>
      </rPr>
      <t xml:space="preserve">÷ </t>
    </r>
    <r>
      <rPr>
        <sz val="9"/>
        <color rgb="FF888888"/>
        <rFont val="Noto Sans CJK SC"/>
        <family val="2"/>
      </rPr>
      <t xml:space="preserve">최근 </t>
    </r>
    <r>
      <rPr>
        <sz val="9"/>
        <color rgb="FF888888"/>
        <rFont val="Malgun Gothic"/>
        <family val="0"/>
        <charset val="1"/>
      </rPr>
      <t xml:space="preserve">3</t>
    </r>
    <r>
      <rPr>
        <sz val="9"/>
        <color rgb="FF888888"/>
        <rFont val="Noto Sans CJK SC"/>
        <family val="2"/>
      </rPr>
      <t xml:space="preserve">개월 평균 순유출</t>
    </r>
    <r>
      <rPr>
        <sz val="9"/>
        <color rgb="FF888888"/>
        <rFont val="Malgun Gothic"/>
        <family val="0"/>
        <charset val="1"/>
      </rPr>
      <t xml:space="preserve">. </t>
    </r>
    <r>
      <rPr>
        <sz val="9"/>
        <color rgb="FF888888"/>
        <rFont val="Noto Sans CJK SC"/>
        <family val="2"/>
      </rPr>
      <t xml:space="preserve">순유입이면 </t>
    </r>
    <r>
      <rPr>
        <sz val="9"/>
        <color rgb="FF888888"/>
        <rFont val="Malgun Gothic"/>
        <family val="0"/>
        <charset val="1"/>
      </rPr>
      <t xml:space="preserve">"</t>
    </r>
    <r>
      <rPr>
        <sz val="9"/>
        <color rgb="FF888888"/>
        <rFont val="Noto Sans CJK SC"/>
        <family val="2"/>
      </rPr>
      <t xml:space="preserve">해당 없음</t>
    </r>
    <r>
      <rPr>
        <sz val="9"/>
        <color rgb="FF888888"/>
        <rFont val="Malgun Gothic"/>
        <family val="0"/>
        <charset val="1"/>
      </rPr>
      <t xml:space="preserve">". </t>
    </r>
    <r>
      <rPr>
        <sz val="9"/>
        <color rgb="FF888888"/>
        <rFont val="Noto Sans CJK SC"/>
        <family val="2"/>
      </rPr>
      <t xml:space="preserve">판단 기준</t>
    </r>
    <r>
      <rPr>
        <sz val="9"/>
        <color rgb="FF888888"/>
        <rFont val="Malgun Gothic"/>
        <family val="0"/>
        <charset val="1"/>
      </rPr>
      <t xml:space="preserve">(3/6</t>
    </r>
    <r>
      <rPr>
        <sz val="9"/>
        <color rgb="FF888888"/>
        <rFont val="Noto Sans CJK SC"/>
        <family val="2"/>
      </rPr>
      <t xml:space="preserve">개월</t>
    </r>
    <r>
      <rPr>
        <sz val="9"/>
        <color rgb="FF888888"/>
        <rFont val="Malgun Gothic"/>
        <family val="0"/>
        <charset val="1"/>
      </rPr>
      <t xml:space="preserve">)</t>
    </r>
    <r>
      <rPr>
        <sz val="9"/>
        <color rgb="FF888888"/>
        <rFont val="Noto Sans CJK SC"/>
        <family val="2"/>
      </rPr>
      <t xml:space="preserve">은 브릿지 </t>
    </r>
    <r>
      <rPr>
        <sz val="9"/>
        <color rgb="FF888888"/>
        <rFont val="Malgun Gothic"/>
        <family val="0"/>
        <charset val="1"/>
      </rPr>
      <t xml:space="preserve">PRD §15.3</t>
    </r>
    <r>
      <rPr>
        <sz val="9"/>
        <color rgb="FF888888"/>
        <rFont val="Noto Sans CJK SC"/>
        <family val="2"/>
      </rPr>
      <t xml:space="preserve">의 </t>
    </r>
    <r>
      <rPr>
        <sz val="9"/>
        <color rgb="FF888888"/>
        <rFont val="Malgun Gothic"/>
        <family val="0"/>
        <charset val="1"/>
      </rPr>
      <t xml:space="preserve">healthByRule</t>
    </r>
    <r>
      <rPr>
        <sz val="9"/>
        <color rgb="FF888888"/>
        <rFont val="Noto Sans CJK SC"/>
        <family val="2"/>
      </rPr>
      <t xml:space="preserve">과 동일</t>
    </r>
    <r>
      <rPr>
        <sz val="9"/>
        <color rgb="FF888888"/>
        <rFont val="Malgun Gothic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</si>
  <si>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최근 </t>
    </r>
    <r>
      <rPr>
        <b val="true"/>
        <sz val="10"/>
        <rFont val="Malgun Gothic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개월 출금 항목별 비중</t>
    </r>
  </si>
  <si>
    <t xml:space="preserve">비중</t>
  </si>
  <si>
    <t xml:space="preserve">가상 기업 현금흐름표 — 합성 데이터</t>
  </si>
  <si>
    <r>
      <rPr>
        <sz val="10"/>
        <rFont val="Noto Sans CJK SC"/>
        <family val="2"/>
      </rPr>
      <t xml:space="preserve">이 파일은 「브릿지</t>
    </r>
    <r>
      <rPr>
        <sz val="10"/>
        <rFont val="Malgun Gothic"/>
        <family val="0"/>
        <charset val="1"/>
      </rPr>
      <t xml:space="preserve">(Bridge)</t>
    </r>
    <r>
      <rPr>
        <sz val="10"/>
        <rFont val="Noto Sans CJK SC"/>
        <family val="2"/>
      </rPr>
      <t xml:space="preserve">」 현금흐름 진단 기능</t>
    </r>
    <r>
      <rPr>
        <sz val="10"/>
        <rFont val="Malgun Gothic"/>
        <family val="0"/>
        <charset val="1"/>
      </rPr>
      <t xml:space="preserve">(PRD §15.3) </t>
    </r>
    <r>
      <rPr>
        <sz val="10"/>
        <rFont val="Noto Sans CJK SC"/>
        <family val="2"/>
      </rPr>
      <t xml:space="preserve">시연용으로 만든 가상 기업의 합성 데이터입니다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실제 기업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거래와 무관합니다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</si>
  <si>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가상 기업 프로필 </t>
    </r>
    <r>
      <rPr>
        <b val="true"/>
        <sz val="11"/>
        <rFont val="Malgun Gothic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브릿지 데모 프로필 ①과 동일</t>
    </r>
    <r>
      <rPr>
        <b val="true"/>
        <sz val="11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</si>
  <si>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업종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소프트웨어 개발업 </t>
    </r>
    <r>
      <rPr>
        <sz val="10"/>
        <rFont val="Malgun Gothic"/>
        <family val="0"/>
        <charset val="1"/>
      </rPr>
      <t xml:space="preserve">(KSIC J62) · </t>
    </r>
    <r>
      <rPr>
        <sz val="10"/>
        <rFont val="Noto Sans CJK SC"/>
        <family val="2"/>
      </rPr>
      <t xml:space="preserve">지역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광주광역시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법인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상시근로자 </t>
    </r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</rPr>
      <t xml:space="preserve">명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업력 약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년</t>
    </r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</si>
  <si>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기간</t>
    </r>
    <r>
      <rPr>
        <sz val="10"/>
        <rFont val="Malgun Gothic"/>
        <family val="0"/>
        <charset val="1"/>
      </rPr>
      <t xml:space="preserve">: 2025-09-01 ~ 2026-08-31 (12</t>
    </r>
    <r>
      <rPr>
        <sz val="10"/>
        <rFont val="Noto Sans CJK SC"/>
        <family val="2"/>
      </rPr>
      <t xml:space="preserve">개월</t>
    </r>
    <r>
      <rPr>
        <sz val="10"/>
        <rFont val="Malgun Gothic"/>
        <family val="0"/>
        <charset val="1"/>
      </rPr>
      <t xml:space="preserve">) · </t>
    </r>
    <r>
      <rPr>
        <sz val="10"/>
        <rFont val="Noto Sans CJK SC"/>
        <family val="2"/>
      </rPr>
      <t xml:space="preserve">기초 잔액 </t>
    </r>
    <r>
      <rPr>
        <sz val="10"/>
        <rFont val="Malgun Gothic"/>
        <family val="0"/>
        <charset val="1"/>
      </rPr>
      <t xml:space="preserve">8,200</t>
    </r>
    <r>
      <rPr>
        <sz val="10"/>
        <rFont val="Noto Sans CJK SC"/>
        <family val="2"/>
      </rPr>
      <t xml:space="preserve">만원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월별 요약</t>
    </r>
    <r>
      <rPr>
        <sz val="10"/>
        <rFont val="Malgun Gothic"/>
        <family val="0"/>
        <charset val="1"/>
      </rPr>
      <t xml:space="preserve">!B3, </t>
    </r>
    <r>
      <rPr>
        <sz val="10"/>
        <rFont val="Noto Sans CJK SC"/>
        <family val="2"/>
      </rPr>
      <t xml:space="preserve">노란 셀 — 브릿지 화면의 기초 잔액 칸에도 </t>
    </r>
    <r>
      <rPr>
        <sz val="10"/>
        <rFont val="Malgun Gothic"/>
        <family val="0"/>
        <charset val="1"/>
      </rPr>
      <t xml:space="preserve">82000000 </t>
    </r>
    <r>
      <rPr>
        <sz val="10"/>
        <rFont val="Noto Sans CJK SC"/>
        <family val="2"/>
      </rPr>
      <t xml:space="preserve">입력</t>
    </r>
    <r>
      <rPr>
        <sz val="10"/>
        <rFont val="Malgun Gothic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</si>
  <si>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스토리 </t>
    </r>
    <r>
      <rPr>
        <b val="true"/>
        <sz val="11"/>
        <rFont val="Malgun Gothic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데이터에 심어 둔 패턴</t>
    </r>
    <r>
      <rPr>
        <b val="true"/>
        <sz val="11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</si>
  <si>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· 2025-09 ~ 2026-04: </t>
    </r>
    <r>
      <rPr>
        <sz val="10"/>
        <rFont val="Noto Sans CJK SC"/>
        <family val="2"/>
      </rPr>
      <t xml:space="preserve">프로젝트 대금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유지보수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개사 월정액으로 안정</t>
    </r>
    <r>
      <rPr>
        <sz val="10"/>
        <rFont val="Malgun Gothic"/>
        <family val="0"/>
        <charset val="1"/>
      </rPr>
      <t xml:space="preserve">. 2026-02 </t>
    </r>
    <r>
      <rPr>
        <sz val="10"/>
        <rFont val="Noto Sans CJK SC"/>
        <family val="2"/>
      </rPr>
      <t xml:space="preserve">지원사업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차 지원금 </t>
    </r>
    <r>
      <rPr>
        <sz val="10"/>
        <rFont val="Malgun Gothic"/>
        <family val="0"/>
        <charset val="1"/>
      </rPr>
      <t xml:space="preserve">1,200</t>
    </r>
    <r>
      <rPr>
        <sz val="10"/>
        <rFont val="Noto Sans CJK SC"/>
        <family val="2"/>
      </rPr>
      <t xml:space="preserve">만원 입금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가상</t>
    </r>
    <r>
      <rPr>
        <sz val="10"/>
        <rFont val="Malgun Gothic"/>
        <family val="0"/>
        <charset val="1"/>
      </rPr>
      <t xml:space="preserve">).</t>
    </r>
  </si>
  <si>
    <r>
      <rPr>
        <sz val="10"/>
        <rFont val="Malgun Gothic"/>
        <family val="0"/>
        <charset val="1"/>
      </rPr>
      <t xml:space="preserve">· 2026-03: </t>
    </r>
    <r>
      <rPr>
        <sz val="10"/>
        <rFont val="Noto Sans CJK SC"/>
        <family val="2"/>
      </rPr>
      <t xml:space="preserve">연봉 </t>
    </r>
    <r>
      <rPr>
        <sz val="10"/>
        <rFont val="Malgun Gothic"/>
        <family val="0"/>
        <charset val="1"/>
      </rPr>
      <t xml:space="preserve">8% </t>
    </r>
    <r>
      <rPr>
        <sz val="10"/>
        <rFont val="Noto Sans CJK SC"/>
        <family val="2"/>
      </rPr>
      <t xml:space="preserve">인상 → 인건비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원천세</t>
    </r>
    <r>
      <rPr>
        <sz val="10"/>
        <rFont val="Malgun Gothic"/>
        <family val="0"/>
        <charset val="1"/>
      </rPr>
      <t xml:space="preserve">·4</t>
    </r>
    <r>
      <rPr>
        <sz val="10"/>
        <rFont val="Noto Sans CJK SC"/>
        <family val="2"/>
      </rPr>
      <t xml:space="preserve">대보험 상승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</si>
  <si>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· 2026-05: </t>
    </r>
    <r>
      <rPr>
        <sz val="10"/>
        <rFont val="Noto Sans CJK SC"/>
        <family val="2"/>
      </rPr>
      <t xml:space="preserve">주요 고객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개사 이탈 → 유지보수 월정액 </t>
    </r>
    <r>
      <rPr>
        <sz val="10"/>
        <rFont val="Malgun Gothic"/>
        <family val="0"/>
        <charset val="1"/>
      </rPr>
      <t xml:space="preserve">330</t>
    </r>
    <r>
      <rPr>
        <sz val="10"/>
        <rFont val="Noto Sans CJK SC"/>
        <family val="2"/>
      </rPr>
      <t xml:space="preserve">만원 → </t>
    </r>
    <r>
      <rPr>
        <sz val="10"/>
        <rFont val="Malgun Gothic"/>
        <family val="0"/>
        <charset val="1"/>
      </rPr>
      <t xml:space="preserve">110</t>
    </r>
    <r>
      <rPr>
        <sz val="10"/>
        <rFont val="Noto Sans CJK SC"/>
        <family val="2"/>
      </rPr>
      <t xml:space="preserve">만원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신규 고객 확보를 위해 광고비를 월 </t>
    </r>
    <r>
      <rPr>
        <sz val="10"/>
        <rFont val="Malgun Gothic"/>
        <family val="0"/>
        <charset val="1"/>
      </rPr>
      <t xml:space="preserve">120</t>
    </r>
    <r>
      <rPr>
        <sz val="10"/>
        <rFont val="Noto Sans CJK SC"/>
        <family val="2"/>
      </rPr>
      <t xml:space="preserve">만원대 → </t>
    </r>
    <r>
      <rPr>
        <sz val="10"/>
        <rFont val="Malgun Gothic"/>
        <family val="0"/>
        <charset val="1"/>
      </rPr>
      <t xml:space="preserve">270</t>
    </r>
    <r>
      <rPr>
        <sz val="10"/>
        <rFont val="Noto Sans CJK SC"/>
        <family val="2"/>
      </rPr>
      <t xml:space="preserve">만원대로 확대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</si>
  <si>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· 2026-06 ~ 08: </t>
    </r>
    <r>
      <rPr>
        <sz val="10"/>
        <rFont val="Noto Sans CJK SC"/>
        <family val="2"/>
      </rPr>
      <t xml:space="preserve">최근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개월 순유출 지속 → 런웨이 약 </t>
    </r>
    <r>
      <rPr>
        <sz val="10"/>
        <rFont val="Malgun Gothic"/>
        <family val="0"/>
        <charset val="1"/>
      </rPr>
      <t xml:space="preserve">4~5</t>
    </r>
    <r>
      <rPr>
        <sz val="10"/>
        <rFont val="Noto Sans CJK SC"/>
        <family val="2"/>
      </rPr>
      <t xml:space="preserve">개월 </t>
    </r>
    <r>
      <rPr>
        <sz val="10"/>
        <rFont val="Malgun Gothic"/>
        <family val="0"/>
        <charset val="1"/>
      </rPr>
      <t xml:space="preserve">= </t>
    </r>
    <r>
      <rPr>
        <sz val="10"/>
        <rFont val="Noto Sans CJK SC"/>
        <family val="2"/>
      </rPr>
      <t xml:space="preserve">「주의」 구간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브릿지에서는 금융 분야 지원사업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보증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정책자금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이 연결됩니다</t>
    </r>
    <r>
      <rPr>
        <sz val="10"/>
        <rFont val="Malgun Gothic"/>
        <family val="0"/>
        <charset val="1"/>
      </rPr>
      <t xml:space="preserve">.</t>
    </r>
  </si>
  <si>
    <t xml:space="preserve">시트 설명</t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</si>
  <si>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거래내역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브릿지가 읽는 원본 시트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첫 시트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열 </t>
    </r>
    <r>
      <rPr>
        <sz val="10"/>
        <rFont val="Malgun Gothic"/>
        <family val="0"/>
        <charset val="1"/>
      </rPr>
      <t xml:space="preserve">= </t>
    </r>
    <r>
      <rPr>
        <sz val="10"/>
        <rFont val="Noto Sans CJK SC"/>
        <family val="2"/>
      </rPr>
      <t xml:space="preserve">일자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구분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항목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적요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입금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출금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잔액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첫 행이 헤더</t>
    </r>
    <r>
      <rPr>
        <sz val="10"/>
        <rFont val="Malgun Gothic"/>
        <family val="0"/>
        <charset val="1"/>
      </rPr>
      <t xml:space="preserve">, 2</t>
    </r>
    <r>
      <rPr>
        <sz val="10"/>
        <rFont val="Noto Sans CJK SC"/>
        <family val="2"/>
      </rPr>
      <t xml:space="preserve">행부터 거래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잔액은 수식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기초 잔액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누적 입금 − 출금</t>
    </r>
    <r>
      <rPr>
        <sz val="10"/>
        <rFont val="Malgun Gothic"/>
        <family val="0"/>
        <charset val="1"/>
      </rPr>
      <t xml:space="preserve">).</t>
    </r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</si>
  <si>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월별 요약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거래내역을 </t>
    </r>
    <r>
      <rPr>
        <sz val="10"/>
        <rFont val="Malgun Gothic"/>
        <family val="0"/>
        <charset val="1"/>
      </rPr>
      <t xml:space="preserve">SUMIFS</t>
    </r>
    <r>
      <rPr>
        <sz val="10"/>
        <rFont val="Noto Sans CJK SC"/>
        <family val="2"/>
      </rPr>
      <t xml:space="preserve">로 집계한 월별 입금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출금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순현금흐름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월말 잔액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핵심 지표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런웨이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건강도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최근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개월 항목별 비중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전부 수식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</si>
  <si>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항목 분류</t>
    </r>
    <r>
      <rPr>
        <sz val="10"/>
        <rFont val="Malgun Gothic"/>
        <family val="0"/>
        <charset val="1"/>
      </rPr>
      <t xml:space="preserve">(9</t>
    </r>
    <r>
      <rPr>
        <sz val="10"/>
        <rFont val="Noto Sans CJK SC"/>
        <family val="2"/>
      </rPr>
      <t xml:space="preserve">종</t>
    </r>
    <r>
      <rPr>
        <sz val="10"/>
        <rFont val="Malgun Gothic"/>
        <family val="0"/>
        <charset val="1"/>
      </rPr>
      <t xml:space="preserve">): </t>
    </r>
    <r>
      <rPr>
        <sz val="10"/>
        <rFont val="Noto Sans CJK SC"/>
        <family val="2"/>
      </rPr>
      <t xml:space="preserve">인건비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임차료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매입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원재료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마케팅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세금공과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외주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장비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기타 — 브릿지 </t>
    </r>
    <r>
      <rPr>
        <sz val="10"/>
        <rFont val="Malgun Gothic"/>
        <family val="0"/>
        <charset val="1"/>
      </rPr>
      <t xml:space="preserve">CASHFLOW_CATEGORIES</t>
    </r>
    <r>
      <rPr>
        <sz val="10"/>
        <rFont val="Noto Sans CJK SC"/>
        <family val="2"/>
      </rPr>
      <t xml:space="preserve">와 동일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</si>
  <si>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가정한 수치 </t>
    </r>
    <r>
      <rPr>
        <b val="true"/>
        <sz val="11"/>
        <rFont val="Malgun Gothic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모두 가상</t>
    </r>
    <r>
      <rPr>
        <b val="true"/>
        <sz val="11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</si>
  <si>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급여 실수령 합계 </t>
    </r>
    <r>
      <rPr>
        <sz val="10"/>
        <rFont val="Malgun Gothic"/>
        <family val="0"/>
        <charset val="1"/>
      </rPr>
      <t xml:space="preserve">1,160</t>
    </r>
    <r>
      <rPr>
        <sz val="10"/>
        <rFont val="Noto Sans CJK SC"/>
        <family val="2"/>
      </rPr>
      <t xml:space="preserve">만원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월</t>
    </r>
    <r>
      <rPr>
        <sz val="10"/>
        <rFont val="Malgun Gothic"/>
        <family val="0"/>
        <charset val="1"/>
      </rPr>
      <t xml:space="preserve">(4</t>
    </r>
    <r>
      <rPr>
        <sz val="10"/>
        <rFont val="Noto Sans CJK SC"/>
        <family val="2"/>
      </rPr>
      <t xml:space="preserve">명</t>
    </r>
    <r>
      <rPr>
        <sz val="10"/>
        <rFont val="Malgun Gothic"/>
        <family val="0"/>
        <charset val="1"/>
      </rPr>
      <t xml:space="preserve">) → 2026-03</t>
    </r>
    <r>
      <rPr>
        <sz val="10"/>
        <rFont val="Noto Sans CJK SC"/>
        <family val="2"/>
      </rPr>
      <t xml:space="preserve">부터 </t>
    </r>
    <r>
      <rPr>
        <sz val="10"/>
        <rFont val="Malgun Gothic"/>
        <family val="0"/>
        <charset val="1"/>
      </rPr>
      <t xml:space="preserve">1,253</t>
    </r>
    <r>
      <rPr>
        <sz val="10"/>
        <rFont val="Noto Sans CJK SC"/>
        <family val="2"/>
      </rPr>
      <t xml:space="preserve">만원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원천세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지방소득세 </t>
    </r>
    <r>
      <rPr>
        <sz val="10"/>
        <rFont val="Malgun Gothic"/>
        <family val="0"/>
        <charset val="1"/>
      </rPr>
      <t xml:space="preserve">48</t>
    </r>
    <r>
      <rPr>
        <sz val="10"/>
        <rFont val="Noto Sans CJK SC"/>
        <family val="2"/>
      </rPr>
      <t xml:space="preserve">만원 </t>
    </r>
    <r>
      <rPr>
        <sz val="10"/>
        <rFont val="Malgun Gothic"/>
        <family val="0"/>
        <charset val="1"/>
      </rPr>
      <t xml:space="preserve">· 4</t>
    </r>
    <r>
      <rPr>
        <sz val="10"/>
        <rFont val="Noto Sans CJK SC"/>
        <family val="2"/>
      </rPr>
      <t xml:space="preserve">대보험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회사</t>
    </r>
    <r>
      <rPr>
        <sz val="10"/>
        <rFont val="Malgun Gothic"/>
        <family val="0"/>
        <charset val="1"/>
      </rPr>
      <t xml:space="preserve">+</t>
    </r>
    <r>
      <rPr>
        <sz val="10"/>
        <rFont val="Noto Sans CJK SC"/>
        <family val="2"/>
      </rPr>
      <t xml:space="preserve">근로자분</t>
    </r>
    <r>
      <rPr>
        <sz val="10"/>
        <rFont val="Malgun Gothic"/>
        <family val="0"/>
        <charset val="1"/>
      </rPr>
      <t xml:space="preserve">) 225</t>
    </r>
    <r>
      <rPr>
        <sz val="10"/>
        <rFont val="Noto Sans CJK SC"/>
        <family val="2"/>
      </rPr>
      <t xml:space="preserve">만원</t>
    </r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</si>
  <si>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임차료 </t>
    </r>
    <r>
      <rPr>
        <sz val="10"/>
        <rFont val="Malgun Gothic"/>
        <family val="0"/>
        <charset val="1"/>
      </rPr>
      <t xml:space="preserve">150</t>
    </r>
    <r>
      <rPr>
        <sz val="10"/>
        <rFont val="Noto Sans CJK SC"/>
        <family val="2"/>
      </rPr>
      <t xml:space="preserve">만원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관리비 약 </t>
    </r>
    <r>
      <rPr>
        <sz val="10"/>
        <rFont val="Malgun Gothic"/>
        <family val="0"/>
        <charset val="1"/>
      </rPr>
      <t xml:space="preserve">23</t>
    </r>
    <r>
      <rPr>
        <sz val="10"/>
        <rFont val="Noto Sans CJK SC"/>
        <family val="2"/>
      </rPr>
      <t xml:space="preserve">만원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클라우드 약 </t>
    </r>
    <r>
      <rPr>
        <sz val="10"/>
        <rFont val="Malgun Gothic"/>
        <family val="0"/>
        <charset val="1"/>
      </rPr>
      <t xml:space="preserve">60~72</t>
    </r>
    <r>
      <rPr>
        <sz val="10"/>
        <rFont val="Noto Sans CJK SC"/>
        <family val="2"/>
      </rPr>
      <t xml:space="preserve">만원 </t>
    </r>
    <r>
      <rPr>
        <sz val="10"/>
        <rFont val="Malgun Gothic"/>
        <family val="0"/>
        <charset val="1"/>
      </rPr>
      <t xml:space="preserve">· SaaS 32</t>
    </r>
    <r>
      <rPr>
        <sz val="10"/>
        <rFont val="Noto Sans CJK SC"/>
        <family val="2"/>
      </rPr>
      <t xml:space="preserve">만원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통신 </t>
    </r>
    <r>
      <rPr>
        <sz val="10"/>
        <rFont val="Malgun Gothic"/>
        <family val="0"/>
        <charset val="1"/>
      </rPr>
      <t xml:space="preserve">11.8</t>
    </r>
    <r>
      <rPr>
        <sz val="10"/>
        <rFont val="Noto Sans CJK SC"/>
        <family val="2"/>
      </rPr>
      <t xml:space="preserve">만원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식대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복리후생 </t>
    </r>
    <r>
      <rPr>
        <sz val="10"/>
        <rFont val="Malgun Gothic"/>
        <family val="0"/>
        <charset val="1"/>
      </rPr>
      <t xml:space="preserve">52~70</t>
    </r>
    <r>
      <rPr>
        <sz val="10"/>
        <rFont val="Noto Sans CJK SC"/>
        <family val="2"/>
      </rPr>
      <t xml:space="preserve">만원</t>
    </r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</si>
  <si>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부가세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법인 분기</t>
    </r>
    <r>
      <rPr>
        <sz val="10"/>
        <rFont val="Malgun Gothic"/>
        <family val="0"/>
        <charset val="1"/>
      </rPr>
      <t xml:space="preserve">, 1·4·7·10</t>
    </r>
    <r>
      <rPr>
        <sz val="10"/>
        <rFont val="Noto Sans CJK SC"/>
        <family val="2"/>
      </rPr>
      <t xml:space="preserve">월 </t>
    </r>
    <r>
      <rPr>
        <sz val="10"/>
        <rFont val="Malgun Gothic"/>
        <family val="0"/>
        <charset val="1"/>
      </rPr>
      <t xml:space="preserve">25</t>
    </r>
    <r>
      <rPr>
        <sz val="10"/>
        <rFont val="Noto Sans CJK SC"/>
        <family val="2"/>
      </rPr>
      <t xml:space="preserve">일</t>
    </r>
    <r>
      <rPr>
        <sz val="10"/>
        <rFont val="Malgun Gothic"/>
        <family val="0"/>
        <charset val="1"/>
      </rPr>
      <t xml:space="preserve">) · </t>
    </r>
    <r>
      <rPr>
        <sz val="10"/>
        <rFont val="Noto Sans CJK SC"/>
        <family val="2"/>
      </rPr>
      <t xml:space="preserve">법인세 </t>
    </r>
    <r>
      <rPr>
        <sz val="10"/>
        <rFont val="Malgun Gothic"/>
        <family val="0"/>
        <charset val="1"/>
      </rPr>
      <t xml:space="preserve">3/31 · </t>
    </r>
    <r>
      <rPr>
        <sz val="10"/>
        <rFont val="Noto Sans CJK SC"/>
        <family val="2"/>
      </rPr>
      <t xml:space="preserve">주민세 사업소분 </t>
    </r>
    <r>
      <rPr>
        <sz val="10"/>
        <rFont val="Malgun Gothic"/>
        <family val="0"/>
        <charset val="1"/>
      </rPr>
      <t xml:space="preserve">8/31 · </t>
    </r>
    <r>
      <rPr>
        <sz val="10"/>
        <rFont val="Noto Sans CJK SC"/>
        <family val="2"/>
      </rPr>
      <t xml:space="preserve">영업배상책임보험 연납 </t>
    </r>
    <r>
      <rPr>
        <sz val="10"/>
        <rFont val="Malgun Gothic"/>
        <family val="0"/>
        <charset val="1"/>
      </rPr>
      <t xml:space="preserve">9</t>
    </r>
    <r>
      <rPr>
        <sz val="10"/>
        <rFont val="Noto Sans CJK SC"/>
        <family val="2"/>
      </rPr>
      <t xml:space="preserve">월</t>
    </r>
  </si>
  <si>
    <t xml:space="preserve">브릿지에서 사용하는 방법</t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</si>
  <si>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사이드바 「경영 도구 › 현금흐름 진단」 → 「샘플 파일로 체험」 또는 이 파일 업로드 → 열 매핑 확인 → 지표</t>
    </r>
    <r>
      <rPr>
        <sz val="10"/>
        <rFont val="Malgun Gothic"/>
        <family val="0"/>
        <charset val="1"/>
      </rPr>
      <t xml:space="preserve">·AI </t>
    </r>
    <r>
      <rPr>
        <sz val="10"/>
        <rFont val="Noto Sans CJK SC"/>
        <family val="2"/>
      </rPr>
      <t xml:space="preserve">인사이트 확인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</si>
  <si>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파일은 브라우저에서만 처리되며 서버에는 월별 합계 등 집계 수치만 전송됩니다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재무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세무 자문이 아닙니다</t>
    </r>
    <r>
      <rPr>
        <sz val="10"/>
        <rFont val="Malgun Gothic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</si>
</sst>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#,##0;\(#,##0\);\-"/>
    <numFmt numFmtId="167" formatCode="#,##0"/>
    <numFmt numFmtId="168" formatCode="0.0"/>
    <numFmt numFmtId="169" formatCode="@"/>
    <numFmt numFmtId="170" formatCode="0"/>
    <numFmt numFmtId="171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sz val="10"/>
      <name val="Malgun Gothic"/>
      <family val="0"/>
      <charset val="1"/>
    </font>
    <font>
      <sz val="10"/>
      <name val="Noto Sans CJK SC"/>
      <family val="2"/>
    </font>
    <font>
      <sz val="10"/>
      <name val="Arial"/>
      <family val="2"/>
    </font>
    <font>
      <b val="true"/>
      <sz val="12"/>
      <name val="Noto Sans CJK SC"/>
      <family val="2"/>
    </font>
    <font>
      <b val="true"/>
      <sz val="12"/>
      <name val="Malgun Gothic"/>
      <family val="0"/>
      <charset val="1"/>
    </font>
    <font>
      <sz val="9"/>
      <color rgb="FF888888"/>
      <name val="Noto Sans CJK SC"/>
      <family val="2"/>
    </font>
    <font>
      <sz val="9"/>
      <color rgb="FF888888"/>
      <name val="Malgun Gothic"/>
      <family val="0"/>
      <charset val="1"/>
    </font>
    <font>
      <b val="true"/>
      <sz val="10"/>
      <name val="Noto Sans CJK SC"/>
      <family val="2"/>
    </font>
    <font>
      <b val="true"/>
      <sz val="10"/>
      <name val="Malgun Gothic"/>
      <family val="0"/>
      <charset val="1"/>
    </font>
    <font>
      <sz val="10"/>
      <color rgb="FF0000FF"/>
      <name val="Malgun Gothic"/>
      <family val="0"/>
      <charset val="1"/>
    </font>
    <font>
      <sz val="10"/>
      <color rgb="FF008000"/>
      <name val="Malgun Gothic"/>
      <family val="0"/>
      <charset val="1"/>
    </font>
    <font>
      <b val="true"/>
      <sz val="11"/>
      <name val="Noto Sans CJK SC"/>
      <family val="2"/>
    </font>
    <font>
      <b val="true"/>
      <sz val="11"/>
      <name val="Malgun Goth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E62C2"/>
        <bgColor rgb="FF888888"/>
      </patternFill>
    </fill>
    <fill>
      <patternFill patternType="solid">
        <fgColor rgb="FFFFFF00"/>
        <bgColor rgb="FFFFFF00"/>
      </patternFill>
    </fill>
    <fill>
      <patternFill patternType="solid">
        <fgColor rgb="FFF5F6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3DA"/>
      </left>
      <right style="thin">
        <color rgb="FFD0D3DA"/>
      </right>
      <top style="thin">
        <color rgb="FFD0D3DA"/>
      </top>
      <bottom style="thin">
        <color rgb="FFD0D3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6E62C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5F6F8"/>
      <rgbColor rgb="FFCCFFFF"/>
      <rgbColor rgb="FF660066"/>
      <rgbColor rgb="FFFF8080"/>
      <rgbColor rgb="FF0066CC"/>
      <rgbColor rgb="FFD0D3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2C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6" min="5" style="0" width="14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45903</v>
      </c>
      <c r="B2" s="3" t="s">
        <v>5</v>
      </c>
      <c r="C2" s="4" t="s">
        <v>7</v>
      </c>
      <c r="D2" s="4" t="s">
        <v>8</v>
      </c>
      <c r="E2" s="5"/>
      <c r="F2" s="5" t="n">
        <v>686418</v>
      </c>
      <c r="G2" s="5" t="n">
        <f aca="false">'월별 요약'!$B$3+N(E2)-N(F2)</f>
        <v>81313582</v>
      </c>
    </row>
    <row r="3" customFormat="false" ht="15" hidden="false" customHeight="false" outlineLevel="0" collapsed="false">
      <c r="A3" s="2" t="n">
        <v>45905</v>
      </c>
      <c r="B3" s="3" t="s">
        <v>5</v>
      </c>
      <c r="C3" s="4" t="s">
        <v>9</v>
      </c>
      <c r="D3" s="4" t="s">
        <v>10</v>
      </c>
      <c r="E3" s="5"/>
      <c r="F3" s="5" t="n">
        <v>1500000</v>
      </c>
      <c r="G3" s="5" t="n">
        <f aca="false">G2+N(E3)-N(F3)</f>
        <v>79813582</v>
      </c>
    </row>
    <row r="4" customFormat="false" ht="15" hidden="false" customHeight="false" outlineLevel="0" collapsed="false">
      <c r="A4" s="2" t="n">
        <v>45905</v>
      </c>
      <c r="B4" s="3" t="s">
        <v>5</v>
      </c>
      <c r="C4" s="4" t="s">
        <v>9</v>
      </c>
      <c r="D4" s="4" t="s">
        <v>11</v>
      </c>
      <c r="E4" s="5"/>
      <c r="F4" s="5" t="n">
        <v>240000</v>
      </c>
      <c r="G4" s="5" t="n">
        <f aca="false">G3+N(E4)-N(F4)</f>
        <v>79573582</v>
      </c>
    </row>
    <row r="5" customFormat="false" ht="15" hidden="false" customHeight="false" outlineLevel="0" collapsed="false">
      <c r="A5" s="2" t="n">
        <v>45907</v>
      </c>
      <c r="B5" s="3" t="s">
        <v>5</v>
      </c>
      <c r="C5" s="4" t="s">
        <v>7</v>
      </c>
      <c r="D5" s="4" t="s">
        <v>12</v>
      </c>
      <c r="E5" s="5"/>
      <c r="F5" s="5" t="n">
        <v>320000</v>
      </c>
      <c r="G5" s="5" t="n">
        <f aca="false">G4+N(E5)-N(F5)</f>
        <v>79253582</v>
      </c>
    </row>
    <row r="6" customFormat="false" ht="15" hidden="false" customHeight="false" outlineLevel="0" collapsed="false">
      <c r="A6" s="2" t="n">
        <v>45908</v>
      </c>
      <c r="B6" s="3" t="s">
        <v>4</v>
      </c>
      <c r="C6" s="4" t="s">
        <v>13</v>
      </c>
      <c r="D6" s="6" t="s">
        <v>14</v>
      </c>
      <c r="E6" s="5" t="n">
        <v>14300000</v>
      </c>
      <c r="F6" s="5"/>
      <c r="G6" s="5" t="n">
        <f aca="false">G5+N(E6)-N(F6)</f>
        <v>93553582</v>
      </c>
    </row>
    <row r="7" customFormat="false" ht="15" hidden="false" customHeight="false" outlineLevel="0" collapsed="false">
      <c r="A7" s="2" t="n">
        <v>45910</v>
      </c>
      <c r="B7" s="3" t="s">
        <v>5</v>
      </c>
      <c r="C7" s="4" t="s">
        <v>15</v>
      </c>
      <c r="D7" s="6" t="s">
        <v>16</v>
      </c>
      <c r="E7" s="5"/>
      <c r="F7" s="5" t="n">
        <v>2250000</v>
      </c>
      <c r="G7" s="5" t="n">
        <f aca="false">G6+N(E7)-N(F7)</f>
        <v>91303582</v>
      </c>
    </row>
    <row r="8" customFormat="false" ht="15" hidden="false" customHeight="false" outlineLevel="0" collapsed="false">
      <c r="A8" s="2" t="n">
        <v>45910</v>
      </c>
      <c r="B8" s="3" t="s">
        <v>5</v>
      </c>
      <c r="C8" s="4" t="s">
        <v>17</v>
      </c>
      <c r="D8" s="4" t="s">
        <v>18</v>
      </c>
      <c r="E8" s="5"/>
      <c r="F8" s="5" t="n">
        <v>480000</v>
      </c>
      <c r="G8" s="5" t="n">
        <f aca="false">G7+N(E8)-N(F8)</f>
        <v>90823582</v>
      </c>
    </row>
    <row r="9" customFormat="false" ht="15" hidden="false" customHeight="false" outlineLevel="0" collapsed="false">
      <c r="A9" s="2" t="n">
        <v>45912</v>
      </c>
      <c r="B9" s="3" t="s">
        <v>5</v>
      </c>
      <c r="C9" s="4" t="s">
        <v>7</v>
      </c>
      <c r="D9" s="4" t="s">
        <v>19</v>
      </c>
      <c r="E9" s="5"/>
      <c r="F9" s="5" t="n">
        <v>118000</v>
      </c>
      <c r="G9" s="5" t="n">
        <f aca="false">G8+N(E9)-N(F9)</f>
        <v>90705582</v>
      </c>
    </row>
    <row r="10" customFormat="false" ht="15" hidden="false" customHeight="false" outlineLevel="0" collapsed="false">
      <c r="A10" s="2" t="n">
        <v>45915</v>
      </c>
      <c r="B10" s="3" t="s">
        <v>5</v>
      </c>
      <c r="C10" s="4" t="s">
        <v>20</v>
      </c>
      <c r="D10" s="4" t="s">
        <v>21</v>
      </c>
      <c r="E10" s="5"/>
      <c r="F10" s="5" t="n">
        <v>1328551</v>
      </c>
      <c r="G10" s="5" t="n">
        <f aca="false">G9+N(E10)-N(F10)</f>
        <v>89377031</v>
      </c>
    </row>
    <row r="11" customFormat="false" ht="15" hidden="false" customHeight="false" outlineLevel="0" collapsed="false">
      <c r="A11" s="2" t="n">
        <v>45917</v>
      </c>
      <c r="B11" s="3" t="s">
        <v>5</v>
      </c>
      <c r="C11" s="4" t="s">
        <v>15</v>
      </c>
      <c r="D11" s="4" t="s">
        <v>22</v>
      </c>
      <c r="E11" s="5"/>
      <c r="F11" s="5" t="n">
        <v>480000</v>
      </c>
      <c r="G11" s="5" t="n">
        <f aca="false">G10+N(E11)-N(F11)</f>
        <v>88897031</v>
      </c>
    </row>
    <row r="12" customFormat="false" ht="15" hidden="false" customHeight="false" outlineLevel="0" collapsed="false">
      <c r="A12" s="2" t="n">
        <v>45918</v>
      </c>
      <c r="B12" s="3" t="s">
        <v>5</v>
      </c>
      <c r="C12" s="4" t="s">
        <v>23</v>
      </c>
      <c r="D12" s="4" t="s">
        <v>24</v>
      </c>
      <c r="E12" s="5"/>
      <c r="F12" s="5" t="n">
        <v>496506</v>
      </c>
      <c r="G12" s="5" t="n">
        <f aca="false">G11+N(E12)-N(F12)</f>
        <v>88400525</v>
      </c>
    </row>
    <row r="13" customFormat="false" ht="15" hidden="false" customHeight="false" outlineLevel="0" collapsed="false">
      <c r="A13" s="2" t="n">
        <v>45925</v>
      </c>
      <c r="B13" s="3" t="s">
        <v>5</v>
      </c>
      <c r="C13" s="4" t="s">
        <v>25</v>
      </c>
      <c r="D13" s="4" t="s">
        <v>26</v>
      </c>
      <c r="E13" s="5"/>
      <c r="F13" s="5" t="n">
        <v>11600000</v>
      </c>
      <c r="G13" s="5" t="n">
        <f aca="false">G12+N(E13)-N(F13)</f>
        <v>76800525</v>
      </c>
    </row>
    <row r="14" customFormat="false" ht="15" hidden="false" customHeight="false" outlineLevel="0" collapsed="false">
      <c r="A14" s="2" t="n">
        <v>45928</v>
      </c>
      <c r="B14" s="3" t="s">
        <v>5</v>
      </c>
      <c r="C14" s="4" t="s">
        <v>7</v>
      </c>
      <c r="D14" s="4" t="s">
        <v>27</v>
      </c>
      <c r="E14" s="5"/>
      <c r="F14" s="5" t="n">
        <v>611098</v>
      </c>
      <c r="G14" s="5" t="n">
        <f aca="false">G13+N(E14)-N(F14)</f>
        <v>76189427</v>
      </c>
    </row>
    <row r="15" customFormat="false" ht="15" hidden="false" customHeight="false" outlineLevel="0" collapsed="false">
      <c r="A15" s="2" t="n">
        <v>45930</v>
      </c>
      <c r="B15" s="3" t="s">
        <v>4</v>
      </c>
      <c r="C15" s="4" t="s">
        <v>13</v>
      </c>
      <c r="D15" s="6" t="s">
        <v>28</v>
      </c>
      <c r="E15" s="5" t="n">
        <v>3300000</v>
      </c>
      <c r="F15" s="5"/>
      <c r="G15" s="5" t="n">
        <f aca="false">G14+N(E15)-N(F15)</f>
        <v>79489427</v>
      </c>
    </row>
    <row r="16" customFormat="false" ht="15" hidden="false" customHeight="false" outlineLevel="0" collapsed="false">
      <c r="A16" s="2" t="n">
        <v>45933</v>
      </c>
      <c r="B16" s="3" t="s">
        <v>5</v>
      </c>
      <c r="C16" s="4" t="s">
        <v>7</v>
      </c>
      <c r="D16" s="4" t="s">
        <v>8</v>
      </c>
      <c r="E16" s="5"/>
      <c r="F16" s="5" t="n">
        <v>595106</v>
      </c>
      <c r="G16" s="5" t="n">
        <f aca="false">G15+N(E16)-N(F16)</f>
        <v>78894321</v>
      </c>
    </row>
    <row r="17" customFormat="false" ht="15" hidden="false" customHeight="false" outlineLevel="0" collapsed="false">
      <c r="A17" s="2" t="n">
        <v>45935</v>
      </c>
      <c r="B17" s="3" t="s">
        <v>5</v>
      </c>
      <c r="C17" s="4" t="s">
        <v>9</v>
      </c>
      <c r="D17" s="4" t="s">
        <v>10</v>
      </c>
      <c r="E17" s="5"/>
      <c r="F17" s="5" t="n">
        <v>1500000</v>
      </c>
      <c r="G17" s="5" t="n">
        <f aca="false">G16+N(E17)-N(F17)</f>
        <v>77394321</v>
      </c>
    </row>
    <row r="18" customFormat="false" ht="15" hidden="false" customHeight="false" outlineLevel="0" collapsed="false">
      <c r="A18" s="2" t="n">
        <v>45935</v>
      </c>
      <c r="B18" s="3" t="s">
        <v>5</v>
      </c>
      <c r="C18" s="4" t="s">
        <v>9</v>
      </c>
      <c r="D18" s="4" t="s">
        <v>11</v>
      </c>
      <c r="E18" s="5"/>
      <c r="F18" s="5" t="n">
        <v>250000</v>
      </c>
      <c r="G18" s="5" t="n">
        <f aca="false">G17+N(E18)-N(F18)</f>
        <v>77144321</v>
      </c>
    </row>
    <row r="19" customFormat="false" ht="15" hidden="false" customHeight="false" outlineLevel="0" collapsed="false">
      <c r="A19" s="2" t="n">
        <v>45937</v>
      </c>
      <c r="B19" s="3" t="s">
        <v>5</v>
      </c>
      <c r="C19" s="4" t="s">
        <v>7</v>
      </c>
      <c r="D19" s="4" t="s">
        <v>12</v>
      </c>
      <c r="E19" s="5"/>
      <c r="F19" s="5" t="n">
        <v>320000</v>
      </c>
      <c r="G19" s="5" t="n">
        <f aca="false">G18+N(E19)-N(F19)</f>
        <v>76824321</v>
      </c>
    </row>
    <row r="20" customFormat="false" ht="15" hidden="false" customHeight="false" outlineLevel="0" collapsed="false">
      <c r="A20" s="2" t="n">
        <v>45940</v>
      </c>
      <c r="B20" s="3" t="s">
        <v>5</v>
      </c>
      <c r="C20" s="4" t="s">
        <v>15</v>
      </c>
      <c r="D20" s="6" t="s">
        <v>16</v>
      </c>
      <c r="E20" s="5"/>
      <c r="F20" s="5" t="n">
        <v>2250000</v>
      </c>
      <c r="G20" s="5" t="n">
        <f aca="false">G19+N(E20)-N(F20)</f>
        <v>74574321</v>
      </c>
    </row>
    <row r="21" customFormat="false" ht="15" hidden="false" customHeight="false" outlineLevel="0" collapsed="false">
      <c r="A21" s="2" t="n">
        <v>45940</v>
      </c>
      <c r="B21" s="3" t="s">
        <v>5</v>
      </c>
      <c r="C21" s="4" t="s">
        <v>17</v>
      </c>
      <c r="D21" s="4" t="s">
        <v>18</v>
      </c>
      <c r="E21" s="5"/>
      <c r="F21" s="5" t="n">
        <v>480000</v>
      </c>
      <c r="G21" s="5" t="n">
        <f aca="false">G20+N(E21)-N(F21)</f>
        <v>74094321</v>
      </c>
    </row>
    <row r="22" customFormat="false" ht="15" hidden="false" customHeight="false" outlineLevel="0" collapsed="false">
      <c r="A22" s="2" t="n">
        <v>45942</v>
      </c>
      <c r="B22" s="3" t="s">
        <v>5</v>
      </c>
      <c r="C22" s="4" t="s">
        <v>7</v>
      </c>
      <c r="D22" s="4" t="s">
        <v>19</v>
      </c>
      <c r="E22" s="5"/>
      <c r="F22" s="5" t="n">
        <v>118000</v>
      </c>
      <c r="G22" s="5" t="n">
        <f aca="false">G21+N(E22)-N(F22)</f>
        <v>73976321</v>
      </c>
    </row>
    <row r="23" customFormat="false" ht="15" hidden="false" customHeight="false" outlineLevel="0" collapsed="false">
      <c r="A23" s="2" t="n">
        <v>45944</v>
      </c>
      <c r="B23" s="3" t="s">
        <v>4</v>
      </c>
      <c r="C23" s="4" t="s">
        <v>13</v>
      </c>
      <c r="D23" s="6" t="s">
        <v>29</v>
      </c>
      <c r="E23" s="5" t="n">
        <v>9900000</v>
      </c>
      <c r="F23" s="5"/>
      <c r="G23" s="5" t="n">
        <f aca="false">G22+N(E23)-N(F23)</f>
        <v>83876321</v>
      </c>
    </row>
    <row r="24" customFormat="false" ht="15" hidden="false" customHeight="false" outlineLevel="0" collapsed="false">
      <c r="A24" s="2" t="n">
        <v>45945</v>
      </c>
      <c r="B24" s="3" t="s">
        <v>5</v>
      </c>
      <c r="C24" s="4" t="s">
        <v>20</v>
      </c>
      <c r="D24" s="4" t="s">
        <v>21</v>
      </c>
      <c r="E24" s="5"/>
      <c r="F24" s="5" t="n">
        <v>1470280</v>
      </c>
      <c r="G24" s="5" t="n">
        <f aca="false">G23+N(E24)-N(F24)</f>
        <v>82406041</v>
      </c>
    </row>
    <row r="25" customFormat="false" ht="15" hidden="false" customHeight="false" outlineLevel="0" collapsed="false">
      <c r="A25" s="2" t="n">
        <v>45948</v>
      </c>
      <c r="B25" s="3" t="s">
        <v>5</v>
      </c>
      <c r="C25" s="4" t="s">
        <v>23</v>
      </c>
      <c r="D25" s="4" t="s">
        <v>24</v>
      </c>
      <c r="E25" s="5"/>
      <c r="F25" s="5" t="n">
        <v>609067</v>
      </c>
      <c r="G25" s="5" t="n">
        <f aca="false">G24+N(E25)-N(F25)</f>
        <v>81796974</v>
      </c>
    </row>
    <row r="26" customFormat="false" ht="15" hidden="false" customHeight="false" outlineLevel="0" collapsed="false">
      <c r="A26" s="2" t="n">
        <v>45952</v>
      </c>
      <c r="B26" s="3" t="s">
        <v>5</v>
      </c>
      <c r="C26" s="4" t="s">
        <v>30</v>
      </c>
      <c r="D26" s="6" t="s">
        <v>31</v>
      </c>
      <c r="E26" s="5"/>
      <c r="F26" s="5" t="n">
        <v>2800000</v>
      </c>
      <c r="G26" s="5" t="n">
        <f aca="false">G25+N(E26)-N(F26)</f>
        <v>78996974</v>
      </c>
    </row>
    <row r="27" customFormat="false" ht="15" hidden="false" customHeight="false" outlineLevel="0" collapsed="false">
      <c r="A27" s="2" t="n">
        <v>45955</v>
      </c>
      <c r="B27" s="3" t="s">
        <v>5</v>
      </c>
      <c r="C27" s="4" t="s">
        <v>17</v>
      </c>
      <c r="D27" s="4" t="s">
        <v>32</v>
      </c>
      <c r="E27" s="5"/>
      <c r="F27" s="5" t="n">
        <v>2640000</v>
      </c>
      <c r="G27" s="5" t="n">
        <f aca="false">G26+N(E27)-N(F27)</f>
        <v>76356974</v>
      </c>
    </row>
    <row r="28" customFormat="false" ht="15" hidden="false" customHeight="false" outlineLevel="0" collapsed="false">
      <c r="A28" s="2" t="n">
        <v>45955</v>
      </c>
      <c r="B28" s="3" t="s">
        <v>5</v>
      </c>
      <c r="C28" s="4" t="s">
        <v>25</v>
      </c>
      <c r="D28" s="4" t="s">
        <v>26</v>
      </c>
      <c r="E28" s="5"/>
      <c r="F28" s="5" t="n">
        <v>11600000</v>
      </c>
      <c r="G28" s="5" t="n">
        <f aca="false">G27+N(E28)-N(F28)</f>
        <v>64756974</v>
      </c>
    </row>
    <row r="29" customFormat="false" ht="15" hidden="false" customHeight="false" outlineLevel="0" collapsed="false">
      <c r="A29" s="2" t="n">
        <v>45958</v>
      </c>
      <c r="B29" s="3" t="s">
        <v>4</v>
      </c>
      <c r="C29" s="4" t="s">
        <v>13</v>
      </c>
      <c r="D29" s="6" t="s">
        <v>33</v>
      </c>
      <c r="E29" s="5" t="n">
        <v>12100000</v>
      </c>
      <c r="F29" s="5"/>
      <c r="G29" s="5" t="n">
        <f aca="false">G28+N(E29)-N(F29)</f>
        <v>76856974</v>
      </c>
    </row>
    <row r="30" customFormat="false" ht="15" hidden="false" customHeight="false" outlineLevel="0" collapsed="false">
      <c r="A30" s="2" t="n">
        <v>45958</v>
      </c>
      <c r="B30" s="3" t="s">
        <v>5</v>
      </c>
      <c r="C30" s="4" t="s">
        <v>7</v>
      </c>
      <c r="D30" s="4" t="s">
        <v>27</v>
      </c>
      <c r="E30" s="5"/>
      <c r="F30" s="5" t="n">
        <v>652324</v>
      </c>
      <c r="G30" s="5" t="n">
        <f aca="false">G29+N(E30)-N(F30)</f>
        <v>76204650</v>
      </c>
    </row>
    <row r="31" customFormat="false" ht="15" hidden="false" customHeight="false" outlineLevel="0" collapsed="false">
      <c r="A31" s="2" t="n">
        <v>45960</v>
      </c>
      <c r="B31" s="3" t="s">
        <v>4</v>
      </c>
      <c r="C31" s="4" t="s">
        <v>13</v>
      </c>
      <c r="D31" s="6" t="s">
        <v>28</v>
      </c>
      <c r="E31" s="5" t="n">
        <v>3300000</v>
      </c>
      <c r="F31" s="5"/>
      <c r="G31" s="5" t="n">
        <f aca="false">G30+N(E31)-N(F31)</f>
        <v>79504650</v>
      </c>
    </row>
    <row r="32" customFormat="false" ht="15" hidden="false" customHeight="false" outlineLevel="0" collapsed="false">
      <c r="A32" s="2" t="n">
        <v>45964</v>
      </c>
      <c r="B32" s="3" t="s">
        <v>5</v>
      </c>
      <c r="C32" s="4" t="s">
        <v>7</v>
      </c>
      <c r="D32" s="4" t="s">
        <v>8</v>
      </c>
      <c r="E32" s="5"/>
      <c r="F32" s="5" t="n">
        <v>615477</v>
      </c>
      <c r="G32" s="5" t="n">
        <f aca="false">G31+N(E32)-N(F32)</f>
        <v>78889173</v>
      </c>
    </row>
    <row r="33" customFormat="false" ht="15" hidden="false" customHeight="false" outlineLevel="0" collapsed="false">
      <c r="A33" s="2" t="n">
        <v>45966</v>
      </c>
      <c r="B33" s="3" t="s">
        <v>5</v>
      </c>
      <c r="C33" s="4" t="s">
        <v>9</v>
      </c>
      <c r="D33" s="4" t="s">
        <v>10</v>
      </c>
      <c r="E33" s="5"/>
      <c r="F33" s="5" t="n">
        <v>1500000</v>
      </c>
      <c r="G33" s="5" t="n">
        <f aca="false">G32+N(E33)-N(F33)</f>
        <v>77389173</v>
      </c>
    </row>
    <row r="34" customFormat="false" ht="15" hidden="false" customHeight="false" outlineLevel="0" collapsed="false">
      <c r="A34" s="2" t="n">
        <v>45966</v>
      </c>
      <c r="B34" s="3" t="s">
        <v>5</v>
      </c>
      <c r="C34" s="4" t="s">
        <v>9</v>
      </c>
      <c r="D34" s="4" t="s">
        <v>11</v>
      </c>
      <c r="E34" s="5"/>
      <c r="F34" s="5" t="n">
        <v>230000</v>
      </c>
      <c r="G34" s="5" t="n">
        <f aca="false">G33+N(E34)-N(F34)</f>
        <v>77159173</v>
      </c>
    </row>
    <row r="35" customFormat="false" ht="15" hidden="false" customHeight="false" outlineLevel="0" collapsed="false">
      <c r="A35" s="2" t="n">
        <v>45967</v>
      </c>
      <c r="B35" s="3" t="s">
        <v>5</v>
      </c>
      <c r="C35" s="4" t="s">
        <v>34</v>
      </c>
      <c r="D35" s="4" t="s">
        <v>35</v>
      </c>
      <c r="E35" s="5"/>
      <c r="F35" s="5" t="n">
        <v>3640000</v>
      </c>
      <c r="G35" s="5" t="n">
        <f aca="false">G34+N(E35)-N(F35)</f>
        <v>73519173</v>
      </c>
    </row>
    <row r="36" customFormat="false" ht="15" hidden="false" customHeight="false" outlineLevel="0" collapsed="false">
      <c r="A36" s="2" t="n">
        <v>45968</v>
      </c>
      <c r="B36" s="3" t="s">
        <v>5</v>
      </c>
      <c r="C36" s="4" t="s">
        <v>7</v>
      </c>
      <c r="D36" s="4" t="s">
        <v>12</v>
      </c>
      <c r="E36" s="5"/>
      <c r="F36" s="5" t="n">
        <v>320000</v>
      </c>
      <c r="G36" s="5" t="n">
        <f aca="false">G35+N(E36)-N(F36)</f>
        <v>73199173</v>
      </c>
    </row>
    <row r="37" customFormat="false" ht="15" hidden="false" customHeight="false" outlineLevel="0" collapsed="false">
      <c r="A37" s="2" t="n">
        <v>45971</v>
      </c>
      <c r="B37" s="3" t="s">
        <v>5</v>
      </c>
      <c r="C37" s="4" t="s">
        <v>15</v>
      </c>
      <c r="D37" s="6" t="s">
        <v>16</v>
      </c>
      <c r="E37" s="5"/>
      <c r="F37" s="5" t="n">
        <v>2250000</v>
      </c>
      <c r="G37" s="5" t="n">
        <f aca="false">G36+N(E37)-N(F37)</f>
        <v>70949173</v>
      </c>
    </row>
    <row r="38" customFormat="false" ht="15" hidden="false" customHeight="false" outlineLevel="0" collapsed="false">
      <c r="A38" s="2" t="n">
        <v>45971</v>
      </c>
      <c r="B38" s="3" t="s">
        <v>5</v>
      </c>
      <c r="C38" s="4" t="s">
        <v>17</v>
      </c>
      <c r="D38" s="4" t="s">
        <v>18</v>
      </c>
      <c r="E38" s="5"/>
      <c r="F38" s="5" t="n">
        <v>480000</v>
      </c>
      <c r="G38" s="5" t="n">
        <f aca="false">G37+N(E38)-N(F38)</f>
        <v>70469173</v>
      </c>
    </row>
    <row r="39" customFormat="false" ht="15" hidden="false" customHeight="false" outlineLevel="0" collapsed="false">
      <c r="A39" s="2" t="n">
        <v>45973</v>
      </c>
      <c r="B39" s="3" t="s">
        <v>5</v>
      </c>
      <c r="C39" s="4" t="s">
        <v>7</v>
      </c>
      <c r="D39" s="4" t="s">
        <v>19</v>
      </c>
      <c r="E39" s="5"/>
      <c r="F39" s="5" t="n">
        <v>118000</v>
      </c>
      <c r="G39" s="5" t="n">
        <f aca="false">G38+N(E39)-N(F39)</f>
        <v>70351173</v>
      </c>
    </row>
    <row r="40" customFormat="false" ht="15" hidden="false" customHeight="false" outlineLevel="0" collapsed="false">
      <c r="A40" s="2" t="n">
        <v>45976</v>
      </c>
      <c r="B40" s="3" t="s">
        <v>5</v>
      </c>
      <c r="C40" s="4" t="s">
        <v>20</v>
      </c>
      <c r="D40" s="4" t="s">
        <v>21</v>
      </c>
      <c r="E40" s="5"/>
      <c r="F40" s="5" t="n">
        <v>1319130</v>
      </c>
      <c r="G40" s="5" t="n">
        <f aca="false">G39+N(E40)-N(F40)</f>
        <v>69032043</v>
      </c>
    </row>
    <row r="41" customFormat="false" ht="15" hidden="false" customHeight="false" outlineLevel="0" collapsed="false">
      <c r="A41" s="2" t="n">
        <v>45979</v>
      </c>
      <c r="B41" s="3" t="s">
        <v>5</v>
      </c>
      <c r="C41" s="4" t="s">
        <v>23</v>
      </c>
      <c r="D41" s="4" t="s">
        <v>24</v>
      </c>
      <c r="E41" s="5"/>
      <c r="F41" s="5" t="n">
        <v>554251</v>
      </c>
      <c r="G41" s="5" t="n">
        <f aca="false">G40+N(E41)-N(F41)</f>
        <v>68477792</v>
      </c>
    </row>
    <row r="42" customFormat="false" ht="15" hidden="false" customHeight="false" outlineLevel="0" collapsed="false">
      <c r="A42" s="2" t="n">
        <v>45981</v>
      </c>
      <c r="B42" s="3" t="s">
        <v>4</v>
      </c>
      <c r="C42" s="4" t="s">
        <v>13</v>
      </c>
      <c r="D42" s="6" t="s">
        <v>36</v>
      </c>
      <c r="E42" s="5" t="n">
        <v>9900000</v>
      </c>
      <c r="F42" s="5"/>
      <c r="G42" s="5" t="n">
        <f aca="false">G41+N(E42)-N(F42)</f>
        <v>78377792</v>
      </c>
    </row>
    <row r="43" customFormat="false" ht="15" hidden="false" customHeight="false" outlineLevel="0" collapsed="false">
      <c r="A43" s="2" t="n">
        <v>45986</v>
      </c>
      <c r="B43" s="3" t="s">
        <v>5</v>
      </c>
      <c r="C43" s="4" t="s">
        <v>25</v>
      </c>
      <c r="D43" s="4" t="s">
        <v>26</v>
      </c>
      <c r="E43" s="5"/>
      <c r="F43" s="5" t="n">
        <v>11600000</v>
      </c>
      <c r="G43" s="5" t="n">
        <f aca="false">G42+N(E43)-N(F43)</f>
        <v>66777792</v>
      </c>
    </row>
    <row r="44" customFormat="false" ht="15" hidden="false" customHeight="false" outlineLevel="0" collapsed="false">
      <c r="A44" s="2" t="n">
        <v>45988</v>
      </c>
      <c r="B44" s="3" t="s">
        <v>4</v>
      </c>
      <c r="C44" s="4" t="s">
        <v>13</v>
      </c>
      <c r="D44" s="6" t="s">
        <v>37</v>
      </c>
      <c r="E44" s="5" t="n">
        <v>8800000</v>
      </c>
      <c r="F44" s="5"/>
      <c r="G44" s="5" t="n">
        <f aca="false">G43+N(E44)-N(F44)</f>
        <v>75577792</v>
      </c>
    </row>
    <row r="45" customFormat="false" ht="15" hidden="false" customHeight="false" outlineLevel="0" collapsed="false">
      <c r="A45" s="2" t="n">
        <v>45989</v>
      </c>
      <c r="B45" s="3" t="s">
        <v>5</v>
      </c>
      <c r="C45" s="4" t="s">
        <v>7</v>
      </c>
      <c r="D45" s="4" t="s">
        <v>27</v>
      </c>
      <c r="E45" s="5"/>
      <c r="F45" s="5" t="n">
        <v>687746</v>
      </c>
      <c r="G45" s="5" t="n">
        <f aca="false">G44+N(E45)-N(F45)</f>
        <v>74890046</v>
      </c>
    </row>
    <row r="46" customFormat="false" ht="15" hidden="false" customHeight="false" outlineLevel="0" collapsed="false">
      <c r="A46" s="2" t="n">
        <v>45991</v>
      </c>
      <c r="B46" s="3" t="s">
        <v>4</v>
      </c>
      <c r="C46" s="4" t="s">
        <v>13</v>
      </c>
      <c r="D46" s="6" t="s">
        <v>28</v>
      </c>
      <c r="E46" s="5" t="n">
        <v>3300000</v>
      </c>
      <c r="F46" s="5"/>
      <c r="G46" s="5" t="n">
        <f aca="false">G45+N(E46)-N(F46)</f>
        <v>78190046</v>
      </c>
    </row>
    <row r="47" customFormat="false" ht="15" hidden="false" customHeight="false" outlineLevel="0" collapsed="false">
      <c r="A47" s="2" t="n">
        <v>45994</v>
      </c>
      <c r="B47" s="3" t="s">
        <v>5</v>
      </c>
      <c r="C47" s="4" t="s">
        <v>7</v>
      </c>
      <c r="D47" s="4" t="s">
        <v>8</v>
      </c>
      <c r="E47" s="5"/>
      <c r="F47" s="5" t="n">
        <v>564859</v>
      </c>
      <c r="G47" s="5" t="n">
        <f aca="false">G46+N(E47)-N(F47)</f>
        <v>77625187</v>
      </c>
    </row>
    <row r="48" customFormat="false" ht="15" hidden="false" customHeight="false" outlineLevel="0" collapsed="false">
      <c r="A48" s="2" t="n">
        <v>45996</v>
      </c>
      <c r="B48" s="3" t="s">
        <v>4</v>
      </c>
      <c r="C48" s="4" t="s">
        <v>13</v>
      </c>
      <c r="D48" s="6" t="s">
        <v>38</v>
      </c>
      <c r="E48" s="5" t="n">
        <v>4400000</v>
      </c>
      <c r="F48" s="5"/>
      <c r="G48" s="5" t="n">
        <f aca="false">G47+N(E48)-N(F48)</f>
        <v>82025187</v>
      </c>
    </row>
    <row r="49" customFormat="false" ht="15" hidden="false" customHeight="false" outlineLevel="0" collapsed="false">
      <c r="A49" s="2" t="n">
        <v>45996</v>
      </c>
      <c r="B49" s="3" t="s">
        <v>5</v>
      </c>
      <c r="C49" s="4" t="s">
        <v>9</v>
      </c>
      <c r="D49" s="4" t="s">
        <v>10</v>
      </c>
      <c r="E49" s="5"/>
      <c r="F49" s="5" t="n">
        <v>1500000</v>
      </c>
      <c r="G49" s="5" t="n">
        <f aca="false">G48+N(E49)-N(F49)</f>
        <v>80525187</v>
      </c>
    </row>
    <row r="50" customFormat="false" ht="15" hidden="false" customHeight="false" outlineLevel="0" collapsed="false">
      <c r="A50" s="2" t="n">
        <v>45996</v>
      </c>
      <c r="B50" s="3" t="s">
        <v>5</v>
      </c>
      <c r="C50" s="4" t="s">
        <v>9</v>
      </c>
      <c r="D50" s="4" t="s">
        <v>11</v>
      </c>
      <c r="E50" s="5"/>
      <c r="F50" s="5" t="n">
        <v>220000</v>
      </c>
      <c r="G50" s="5" t="n">
        <f aca="false">G49+N(E50)-N(F50)</f>
        <v>80305187</v>
      </c>
    </row>
    <row r="51" customFormat="false" ht="15" hidden="false" customHeight="false" outlineLevel="0" collapsed="false">
      <c r="A51" s="2" t="n">
        <v>45998</v>
      </c>
      <c r="B51" s="3" t="s">
        <v>5</v>
      </c>
      <c r="C51" s="4" t="s">
        <v>7</v>
      </c>
      <c r="D51" s="4" t="s">
        <v>12</v>
      </c>
      <c r="E51" s="5"/>
      <c r="F51" s="5" t="n">
        <v>320000</v>
      </c>
      <c r="G51" s="5" t="n">
        <f aca="false">G50+N(E51)-N(F51)</f>
        <v>79985187</v>
      </c>
    </row>
    <row r="52" customFormat="false" ht="15" hidden="false" customHeight="false" outlineLevel="0" collapsed="false">
      <c r="A52" s="2" t="n">
        <v>46001</v>
      </c>
      <c r="B52" s="3" t="s">
        <v>4</v>
      </c>
      <c r="C52" s="4" t="s">
        <v>13</v>
      </c>
      <c r="D52" s="6" t="s">
        <v>39</v>
      </c>
      <c r="E52" s="5" t="n">
        <v>12100000</v>
      </c>
      <c r="F52" s="5"/>
      <c r="G52" s="5" t="n">
        <f aca="false">G51+N(E52)-N(F52)</f>
        <v>92085187</v>
      </c>
    </row>
    <row r="53" customFormat="false" ht="15" hidden="false" customHeight="false" outlineLevel="0" collapsed="false">
      <c r="A53" s="2" t="n">
        <v>46001</v>
      </c>
      <c r="B53" s="3" t="s">
        <v>5</v>
      </c>
      <c r="C53" s="4" t="s">
        <v>15</v>
      </c>
      <c r="D53" s="6" t="s">
        <v>16</v>
      </c>
      <c r="E53" s="5"/>
      <c r="F53" s="5" t="n">
        <v>2250000</v>
      </c>
      <c r="G53" s="5" t="n">
        <f aca="false">G52+N(E53)-N(F53)</f>
        <v>89835187</v>
      </c>
    </row>
    <row r="54" customFormat="false" ht="15" hidden="false" customHeight="false" outlineLevel="0" collapsed="false">
      <c r="A54" s="2" t="n">
        <v>46001</v>
      </c>
      <c r="B54" s="3" t="s">
        <v>5</v>
      </c>
      <c r="C54" s="4" t="s">
        <v>17</v>
      </c>
      <c r="D54" s="4" t="s">
        <v>18</v>
      </c>
      <c r="E54" s="5"/>
      <c r="F54" s="5" t="n">
        <v>480000</v>
      </c>
      <c r="G54" s="5" t="n">
        <f aca="false">G53+N(E54)-N(F54)</f>
        <v>89355187</v>
      </c>
    </row>
    <row r="55" customFormat="false" ht="15" hidden="false" customHeight="false" outlineLevel="0" collapsed="false">
      <c r="A55" s="2" t="n">
        <v>46003</v>
      </c>
      <c r="B55" s="3" t="s">
        <v>5</v>
      </c>
      <c r="C55" s="4" t="s">
        <v>7</v>
      </c>
      <c r="D55" s="4" t="s">
        <v>19</v>
      </c>
      <c r="E55" s="5"/>
      <c r="F55" s="5" t="n">
        <v>118000</v>
      </c>
      <c r="G55" s="5" t="n">
        <f aca="false">G54+N(E55)-N(F55)</f>
        <v>89237187</v>
      </c>
    </row>
    <row r="56" customFormat="false" ht="15" hidden="false" customHeight="false" outlineLevel="0" collapsed="false">
      <c r="A56" s="2" t="n">
        <v>46006</v>
      </c>
      <c r="B56" s="3" t="s">
        <v>4</v>
      </c>
      <c r="C56" s="4" t="s">
        <v>7</v>
      </c>
      <c r="D56" s="4" t="s">
        <v>40</v>
      </c>
      <c r="E56" s="5" t="n">
        <v>19632</v>
      </c>
      <c r="F56" s="5"/>
      <c r="G56" s="5" t="n">
        <f aca="false">G55+N(E56)-N(F56)</f>
        <v>89256819</v>
      </c>
    </row>
    <row r="57" customFormat="false" ht="15" hidden="false" customHeight="false" outlineLevel="0" collapsed="false">
      <c r="A57" s="2" t="n">
        <v>46006</v>
      </c>
      <c r="B57" s="3" t="s">
        <v>5</v>
      </c>
      <c r="C57" s="4" t="s">
        <v>20</v>
      </c>
      <c r="D57" s="4" t="s">
        <v>21</v>
      </c>
      <c r="E57" s="5"/>
      <c r="F57" s="5" t="n">
        <v>1412123</v>
      </c>
      <c r="G57" s="5" t="n">
        <f aca="false">G56+N(E57)-N(F57)</f>
        <v>87844696</v>
      </c>
    </row>
    <row r="58" customFormat="false" ht="15" hidden="false" customHeight="false" outlineLevel="0" collapsed="false">
      <c r="A58" s="2" t="n">
        <v>46009</v>
      </c>
      <c r="B58" s="3" t="s">
        <v>5</v>
      </c>
      <c r="C58" s="4" t="s">
        <v>23</v>
      </c>
      <c r="D58" s="4" t="s">
        <v>24</v>
      </c>
      <c r="E58" s="5"/>
      <c r="F58" s="5" t="n">
        <v>628833</v>
      </c>
      <c r="G58" s="5" t="n">
        <f aca="false">G57+N(E58)-N(F58)</f>
        <v>87215863</v>
      </c>
    </row>
    <row r="59" customFormat="false" ht="15" hidden="false" customHeight="false" outlineLevel="0" collapsed="false">
      <c r="A59" s="2" t="n">
        <v>46009</v>
      </c>
      <c r="B59" s="3" t="s">
        <v>5</v>
      </c>
      <c r="C59" s="4" t="s">
        <v>30</v>
      </c>
      <c r="D59" s="6" t="s">
        <v>41</v>
      </c>
      <c r="E59" s="5"/>
      <c r="F59" s="5" t="n">
        <v>1650000</v>
      </c>
      <c r="G59" s="5" t="n">
        <f aca="false">G58+N(E59)-N(F59)</f>
        <v>85565863</v>
      </c>
    </row>
    <row r="60" customFormat="false" ht="15" hidden="false" customHeight="false" outlineLevel="0" collapsed="false">
      <c r="A60" s="2" t="n">
        <v>46014</v>
      </c>
      <c r="B60" s="3" t="s">
        <v>4</v>
      </c>
      <c r="C60" s="4" t="s">
        <v>13</v>
      </c>
      <c r="D60" s="6" t="s">
        <v>42</v>
      </c>
      <c r="E60" s="5" t="n">
        <v>16500000</v>
      </c>
      <c r="F60" s="5"/>
      <c r="G60" s="5" t="n">
        <f aca="false">G59+N(E60)-N(F60)</f>
        <v>102065863</v>
      </c>
    </row>
    <row r="61" customFormat="false" ht="15" hidden="false" customHeight="false" outlineLevel="0" collapsed="false">
      <c r="A61" s="2" t="n">
        <v>46016</v>
      </c>
      <c r="B61" s="3" t="s">
        <v>5</v>
      </c>
      <c r="C61" s="4" t="s">
        <v>25</v>
      </c>
      <c r="D61" s="4" t="s">
        <v>26</v>
      </c>
      <c r="E61" s="5"/>
      <c r="F61" s="5" t="n">
        <v>11600000</v>
      </c>
      <c r="G61" s="5" t="n">
        <f aca="false">G60+N(E61)-N(F61)</f>
        <v>90465863</v>
      </c>
    </row>
    <row r="62" customFormat="false" ht="15" hidden="false" customHeight="false" outlineLevel="0" collapsed="false">
      <c r="A62" s="2" t="n">
        <v>46019</v>
      </c>
      <c r="B62" s="3" t="s">
        <v>5</v>
      </c>
      <c r="C62" s="4" t="s">
        <v>7</v>
      </c>
      <c r="D62" s="4" t="s">
        <v>27</v>
      </c>
      <c r="E62" s="5"/>
      <c r="F62" s="5" t="n">
        <v>591390</v>
      </c>
      <c r="G62" s="5" t="n">
        <f aca="false">G61+N(E62)-N(F62)</f>
        <v>89874473</v>
      </c>
    </row>
    <row r="63" customFormat="false" ht="15" hidden="false" customHeight="false" outlineLevel="0" collapsed="false">
      <c r="A63" s="2" t="n">
        <v>46021</v>
      </c>
      <c r="B63" s="3" t="s">
        <v>4</v>
      </c>
      <c r="C63" s="4" t="s">
        <v>13</v>
      </c>
      <c r="D63" s="6" t="s">
        <v>28</v>
      </c>
      <c r="E63" s="5" t="n">
        <v>3300000</v>
      </c>
      <c r="F63" s="5"/>
      <c r="G63" s="5" t="n">
        <f aca="false">G62+N(E63)-N(F63)</f>
        <v>93174473</v>
      </c>
    </row>
    <row r="64" customFormat="false" ht="15" hidden="false" customHeight="false" outlineLevel="0" collapsed="false">
      <c r="A64" s="2" t="n">
        <v>46025</v>
      </c>
      <c r="B64" s="3" t="s">
        <v>5</v>
      </c>
      <c r="C64" s="4" t="s">
        <v>7</v>
      </c>
      <c r="D64" s="4" t="s">
        <v>8</v>
      </c>
      <c r="E64" s="5"/>
      <c r="F64" s="5" t="n">
        <v>577444</v>
      </c>
      <c r="G64" s="5" t="n">
        <f aca="false">G63+N(E64)-N(F64)</f>
        <v>92597029</v>
      </c>
    </row>
    <row r="65" customFormat="false" ht="15" hidden="false" customHeight="false" outlineLevel="0" collapsed="false">
      <c r="A65" s="2" t="n">
        <v>46027</v>
      </c>
      <c r="B65" s="3" t="s">
        <v>5</v>
      </c>
      <c r="C65" s="4" t="s">
        <v>9</v>
      </c>
      <c r="D65" s="4" t="s">
        <v>10</v>
      </c>
      <c r="E65" s="5"/>
      <c r="F65" s="5" t="n">
        <v>1500000</v>
      </c>
      <c r="G65" s="5" t="n">
        <f aca="false">G64+N(E65)-N(F65)</f>
        <v>91097029</v>
      </c>
    </row>
    <row r="66" customFormat="false" ht="15" hidden="false" customHeight="false" outlineLevel="0" collapsed="false">
      <c r="A66" s="2" t="n">
        <v>46027</v>
      </c>
      <c r="B66" s="3" t="s">
        <v>5</v>
      </c>
      <c r="C66" s="4" t="s">
        <v>9</v>
      </c>
      <c r="D66" s="4" t="s">
        <v>11</v>
      </c>
      <c r="E66" s="5"/>
      <c r="F66" s="5" t="n">
        <v>250000</v>
      </c>
      <c r="G66" s="5" t="n">
        <f aca="false">G65+N(E66)-N(F66)</f>
        <v>90847029</v>
      </c>
    </row>
    <row r="67" customFormat="false" ht="15" hidden="false" customHeight="false" outlineLevel="0" collapsed="false">
      <c r="A67" s="2" t="n">
        <v>46029</v>
      </c>
      <c r="B67" s="3" t="s">
        <v>5</v>
      </c>
      <c r="C67" s="4" t="s">
        <v>7</v>
      </c>
      <c r="D67" s="4" t="s">
        <v>12</v>
      </c>
      <c r="E67" s="5"/>
      <c r="F67" s="5" t="n">
        <v>320000</v>
      </c>
      <c r="G67" s="5" t="n">
        <f aca="false">G66+N(E67)-N(F67)</f>
        <v>90527029</v>
      </c>
    </row>
    <row r="68" customFormat="false" ht="15" hidden="false" customHeight="false" outlineLevel="0" collapsed="false">
      <c r="A68" s="2" t="n">
        <v>46032</v>
      </c>
      <c r="B68" s="3" t="s">
        <v>5</v>
      </c>
      <c r="C68" s="4" t="s">
        <v>15</v>
      </c>
      <c r="D68" s="6" t="s">
        <v>16</v>
      </c>
      <c r="E68" s="5"/>
      <c r="F68" s="5" t="n">
        <v>2250000</v>
      </c>
      <c r="G68" s="5" t="n">
        <f aca="false">G67+N(E68)-N(F68)</f>
        <v>88277029</v>
      </c>
    </row>
    <row r="69" customFormat="false" ht="15" hidden="false" customHeight="false" outlineLevel="0" collapsed="false">
      <c r="A69" s="2" t="n">
        <v>46032</v>
      </c>
      <c r="B69" s="3" t="s">
        <v>5</v>
      </c>
      <c r="C69" s="4" t="s">
        <v>17</v>
      </c>
      <c r="D69" s="4" t="s">
        <v>18</v>
      </c>
      <c r="E69" s="5"/>
      <c r="F69" s="5" t="n">
        <v>480000</v>
      </c>
      <c r="G69" s="5" t="n">
        <f aca="false">G68+N(E69)-N(F69)</f>
        <v>87797029</v>
      </c>
    </row>
    <row r="70" customFormat="false" ht="15" hidden="false" customHeight="false" outlineLevel="0" collapsed="false">
      <c r="A70" s="2" t="n">
        <v>46034</v>
      </c>
      <c r="B70" s="3" t="s">
        <v>5</v>
      </c>
      <c r="C70" s="4" t="s">
        <v>7</v>
      </c>
      <c r="D70" s="4" t="s">
        <v>19</v>
      </c>
      <c r="E70" s="5"/>
      <c r="F70" s="5" t="n">
        <v>118000</v>
      </c>
      <c r="G70" s="5" t="n">
        <f aca="false">G69+N(E70)-N(F70)</f>
        <v>87679029</v>
      </c>
    </row>
    <row r="71" customFormat="false" ht="15" hidden="false" customHeight="false" outlineLevel="0" collapsed="false">
      <c r="A71" s="2" t="n">
        <v>46037</v>
      </c>
      <c r="B71" s="3" t="s">
        <v>5</v>
      </c>
      <c r="C71" s="4" t="s">
        <v>20</v>
      </c>
      <c r="D71" s="4" t="s">
        <v>21</v>
      </c>
      <c r="E71" s="5"/>
      <c r="F71" s="5" t="n">
        <v>1337828</v>
      </c>
      <c r="G71" s="5" t="n">
        <f aca="false">G70+N(E71)-N(F71)</f>
        <v>86341201</v>
      </c>
    </row>
    <row r="72" customFormat="false" ht="15" hidden="false" customHeight="false" outlineLevel="0" collapsed="false">
      <c r="A72" s="2" t="n">
        <v>46038</v>
      </c>
      <c r="B72" s="3" t="s">
        <v>4</v>
      </c>
      <c r="C72" s="4" t="s">
        <v>13</v>
      </c>
      <c r="D72" s="6" t="s">
        <v>43</v>
      </c>
      <c r="E72" s="5" t="n">
        <v>6600000</v>
      </c>
      <c r="F72" s="5"/>
      <c r="G72" s="5" t="n">
        <f aca="false">G71+N(E72)-N(F72)</f>
        <v>92941201</v>
      </c>
    </row>
    <row r="73" customFormat="false" ht="15" hidden="false" customHeight="false" outlineLevel="0" collapsed="false">
      <c r="A73" s="2" t="n">
        <v>46040</v>
      </c>
      <c r="B73" s="3" t="s">
        <v>5</v>
      </c>
      <c r="C73" s="4" t="s">
        <v>23</v>
      </c>
      <c r="D73" s="4" t="s">
        <v>24</v>
      </c>
      <c r="E73" s="5"/>
      <c r="F73" s="5" t="n">
        <v>607114</v>
      </c>
      <c r="G73" s="5" t="n">
        <f aca="false">G72+N(E73)-N(F73)</f>
        <v>92334087</v>
      </c>
    </row>
    <row r="74" customFormat="false" ht="15" hidden="false" customHeight="false" outlineLevel="0" collapsed="false">
      <c r="A74" s="2" t="n">
        <v>46047</v>
      </c>
      <c r="B74" s="3" t="s">
        <v>5</v>
      </c>
      <c r="C74" s="4" t="s">
        <v>17</v>
      </c>
      <c r="D74" s="4" t="s">
        <v>32</v>
      </c>
      <c r="E74" s="5"/>
      <c r="F74" s="5" t="n">
        <v>3120000</v>
      </c>
      <c r="G74" s="5" t="n">
        <f aca="false">G73+N(E74)-N(F74)</f>
        <v>89214087</v>
      </c>
    </row>
    <row r="75" customFormat="false" ht="15" hidden="false" customHeight="false" outlineLevel="0" collapsed="false">
      <c r="A75" s="2" t="n">
        <v>46047</v>
      </c>
      <c r="B75" s="3" t="s">
        <v>5</v>
      </c>
      <c r="C75" s="4" t="s">
        <v>25</v>
      </c>
      <c r="D75" s="4" t="s">
        <v>26</v>
      </c>
      <c r="E75" s="5"/>
      <c r="F75" s="5" t="n">
        <v>11600000</v>
      </c>
      <c r="G75" s="5" t="n">
        <f aca="false">G74+N(E75)-N(F75)</f>
        <v>77614087</v>
      </c>
    </row>
    <row r="76" customFormat="false" ht="15" hidden="false" customHeight="false" outlineLevel="0" collapsed="false">
      <c r="A76" s="2" t="n">
        <v>46050</v>
      </c>
      <c r="B76" s="3" t="s">
        <v>5</v>
      </c>
      <c r="C76" s="4" t="s">
        <v>7</v>
      </c>
      <c r="D76" s="4" t="s">
        <v>27</v>
      </c>
      <c r="E76" s="5"/>
      <c r="F76" s="5" t="n">
        <v>550681</v>
      </c>
      <c r="G76" s="5" t="n">
        <f aca="false">G75+N(E76)-N(F76)</f>
        <v>77063406</v>
      </c>
    </row>
    <row r="77" customFormat="false" ht="15" hidden="false" customHeight="false" outlineLevel="0" collapsed="false">
      <c r="A77" s="2" t="n">
        <v>46052</v>
      </c>
      <c r="B77" s="3" t="s">
        <v>4</v>
      </c>
      <c r="C77" s="4" t="s">
        <v>13</v>
      </c>
      <c r="D77" s="6" t="s">
        <v>44</v>
      </c>
      <c r="E77" s="5" t="n">
        <v>13200000</v>
      </c>
      <c r="F77" s="5"/>
      <c r="G77" s="5" t="n">
        <f aca="false">G76+N(E77)-N(F77)</f>
        <v>90263406</v>
      </c>
    </row>
    <row r="78" customFormat="false" ht="15" hidden="false" customHeight="false" outlineLevel="0" collapsed="false">
      <c r="A78" s="2" t="n">
        <v>46052</v>
      </c>
      <c r="B78" s="3" t="s">
        <v>4</v>
      </c>
      <c r="C78" s="4" t="s">
        <v>13</v>
      </c>
      <c r="D78" s="6" t="s">
        <v>28</v>
      </c>
      <c r="E78" s="5" t="n">
        <v>3300000</v>
      </c>
      <c r="F78" s="5"/>
      <c r="G78" s="5" t="n">
        <f aca="false">G77+N(E78)-N(F78)</f>
        <v>93563406</v>
      </c>
    </row>
    <row r="79" customFormat="false" ht="15" hidden="false" customHeight="false" outlineLevel="0" collapsed="false">
      <c r="A79" s="2" t="n">
        <v>46056</v>
      </c>
      <c r="B79" s="3" t="s">
        <v>5</v>
      </c>
      <c r="C79" s="4" t="s">
        <v>7</v>
      </c>
      <c r="D79" s="4" t="s">
        <v>8</v>
      </c>
      <c r="E79" s="5"/>
      <c r="F79" s="5" t="n">
        <v>620779</v>
      </c>
      <c r="G79" s="5" t="n">
        <f aca="false">G78+N(E79)-N(F79)</f>
        <v>92942627</v>
      </c>
    </row>
    <row r="80" customFormat="false" ht="15" hidden="false" customHeight="false" outlineLevel="0" collapsed="false">
      <c r="A80" s="2" t="n">
        <v>46058</v>
      </c>
      <c r="B80" s="3" t="s">
        <v>5</v>
      </c>
      <c r="C80" s="4" t="s">
        <v>9</v>
      </c>
      <c r="D80" s="4" t="s">
        <v>10</v>
      </c>
      <c r="E80" s="5"/>
      <c r="F80" s="5" t="n">
        <v>1500000</v>
      </c>
      <c r="G80" s="5" t="n">
        <f aca="false">G79+N(E80)-N(F80)</f>
        <v>91442627</v>
      </c>
    </row>
    <row r="81" customFormat="false" ht="15" hidden="false" customHeight="false" outlineLevel="0" collapsed="false">
      <c r="A81" s="2" t="n">
        <v>46058</v>
      </c>
      <c r="B81" s="3" t="s">
        <v>5</v>
      </c>
      <c r="C81" s="4" t="s">
        <v>9</v>
      </c>
      <c r="D81" s="4" t="s">
        <v>11</v>
      </c>
      <c r="E81" s="5"/>
      <c r="F81" s="5" t="n">
        <v>240000</v>
      </c>
      <c r="G81" s="5" t="n">
        <f aca="false">G80+N(E81)-N(F81)</f>
        <v>91202627</v>
      </c>
    </row>
    <row r="82" customFormat="false" ht="15" hidden="false" customHeight="false" outlineLevel="0" collapsed="false">
      <c r="A82" s="2" t="n">
        <v>46060</v>
      </c>
      <c r="B82" s="3" t="s">
        <v>5</v>
      </c>
      <c r="C82" s="4" t="s">
        <v>7</v>
      </c>
      <c r="D82" s="4" t="s">
        <v>12</v>
      </c>
      <c r="E82" s="5"/>
      <c r="F82" s="5" t="n">
        <v>320000</v>
      </c>
      <c r="G82" s="5" t="n">
        <f aca="false">G81+N(E82)-N(F82)</f>
        <v>90882627</v>
      </c>
    </row>
    <row r="83" customFormat="false" ht="15" hidden="false" customHeight="false" outlineLevel="0" collapsed="false">
      <c r="A83" s="2" t="n">
        <v>46063</v>
      </c>
      <c r="B83" s="3" t="s">
        <v>5</v>
      </c>
      <c r="C83" s="4" t="s">
        <v>15</v>
      </c>
      <c r="D83" s="6" t="s">
        <v>16</v>
      </c>
      <c r="E83" s="5"/>
      <c r="F83" s="5" t="n">
        <v>2250000</v>
      </c>
      <c r="G83" s="5" t="n">
        <f aca="false">G82+N(E83)-N(F83)</f>
        <v>88632627</v>
      </c>
    </row>
    <row r="84" customFormat="false" ht="15" hidden="false" customHeight="false" outlineLevel="0" collapsed="false">
      <c r="A84" s="2" t="n">
        <v>46063</v>
      </c>
      <c r="B84" s="3" t="s">
        <v>5</v>
      </c>
      <c r="C84" s="4" t="s">
        <v>17</v>
      </c>
      <c r="D84" s="4" t="s">
        <v>18</v>
      </c>
      <c r="E84" s="5"/>
      <c r="F84" s="5" t="n">
        <v>480000</v>
      </c>
      <c r="G84" s="5" t="n">
        <f aca="false">G83+N(E84)-N(F84)</f>
        <v>88152627</v>
      </c>
    </row>
    <row r="85" customFormat="false" ht="15" hidden="false" customHeight="false" outlineLevel="0" collapsed="false">
      <c r="A85" s="2" t="n">
        <v>46065</v>
      </c>
      <c r="B85" s="3" t="s">
        <v>4</v>
      </c>
      <c r="C85" s="4" t="s">
        <v>13</v>
      </c>
      <c r="D85" s="6" t="s">
        <v>45</v>
      </c>
      <c r="E85" s="5" t="n">
        <v>16500000</v>
      </c>
      <c r="F85" s="5"/>
      <c r="G85" s="5" t="n">
        <f aca="false">G84+N(E85)-N(F85)</f>
        <v>104652627</v>
      </c>
    </row>
    <row r="86" customFormat="false" ht="15" hidden="false" customHeight="false" outlineLevel="0" collapsed="false">
      <c r="A86" s="2" t="n">
        <v>46065</v>
      </c>
      <c r="B86" s="3" t="s">
        <v>5</v>
      </c>
      <c r="C86" s="4" t="s">
        <v>7</v>
      </c>
      <c r="D86" s="4" t="s">
        <v>19</v>
      </c>
      <c r="E86" s="5"/>
      <c r="F86" s="5" t="n">
        <v>118000</v>
      </c>
      <c r="G86" s="5" t="n">
        <f aca="false">G85+N(E86)-N(F86)</f>
        <v>104534627</v>
      </c>
    </row>
    <row r="87" customFormat="false" ht="15" hidden="false" customHeight="false" outlineLevel="0" collapsed="false">
      <c r="A87" s="2" t="n">
        <v>46068</v>
      </c>
      <c r="B87" s="3" t="s">
        <v>5</v>
      </c>
      <c r="C87" s="4" t="s">
        <v>20</v>
      </c>
      <c r="D87" s="4" t="s">
        <v>21</v>
      </c>
      <c r="E87" s="5"/>
      <c r="F87" s="5" t="n">
        <v>1272925</v>
      </c>
      <c r="G87" s="5" t="n">
        <f aca="false">G86+N(E87)-N(F87)</f>
        <v>103261702</v>
      </c>
    </row>
    <row r="88" customFormat="false" ht="15" hidden="false" customHeight="false" outlineLevel="0" collapsed="false">
      <c r="A88" s="2" t="n">
        <v>46071</v>
      </c>
      <c r="B88" s="3" t="s">
        <v>5</v>
      </c>
      <c r="C88" s="4" t="s">
        <v>23</v>
      </c>
      <c r="D88" s="4" t="s">
        <v>24</v>
      </c>
      <c r="E88" s="5"/>
      <c r="F88" s="5" t="n">
        <v>561882</v>
      </c>
      <c r="G88" s="5" t="n">
        <f aca="false">G87+N(E88)-N(F88)</f>
        <v>102699820</v>
      </c>
    </row>
    <row r="89" customFormat="false" ht="15" hidden="false" customHeight="false" outlineLevel="0" collapsed="false">
      <c r="A89" s="2" t="n">
        <v>46073</v>
      </c>
      <c r="B89" s="3" t="s">
        <v>4</v>
      </c>
      <c r="C89" s="4" t="s">
        <v>46</v>
      </c>
      <c r="D89" s="6" t="s">
        <v>47</v>
      </c>
      <c r="E89" s="5" t="n">
        <v>12000000</v>
      </c>
      <c r="F89" s="5"/>
      <c r="G89" s="5" t="n">
        <f aca="false">G88+N(E89)-N(F89)</f>
        <v>114699820</v>
      </c>
    </row>
    <row r="90" customFormat="false" ht="15" hidden="false" customHeight="false" outlineLevel="0" collapsed="false">
      <c r="A90" s="2" t="n">
        <v>46077</v>
      </c>
      <c r="B90" s="3" t="s">
        <v>5</v>
      </c>
      <c r="C90" s="4" t="s">
        <v>30</v>
      </c>
      <c r="D90" s="4" t="s">
        <v>48</v>
      </c>
      <c r="E90" s="5"/>
      <c r="F90" s="5" t="n">
        <v>990000</v>
      </c>
      <c r="G90" s="5" t="n">
        <f aca="false">G89+N(E90)-N(F90)</f>
        <v>113709820</v>
      </c>
    </row>
    <row r="91" customFormat="false" ht="15" hidden="false" customHeight="false" outlineLevel="0" collapsed="false">
      <c r="A91" s="2" t="n">
        <v>46078</v>
      </c>
      <c r="B91" s="3" t="s">
        <v>5</v>
      </c>
      <c r="C91" s="4" t="s">
        <v>25</v>
      </c>
      <c r="D91" s="4" t="s">
        <v>26</v>
      </c>
      <c r="E91" s="5"/>
      <c r="F91" s="5" t="n">
        <v>11600000</v>
      </c>
      <c r="G91" s="5" t="n">
        <f aca="false">G90+N(E91)-N(F91)</f>
        <v>102109820</v>
      </c>
    </row>
    <row r="92" customFormat="false" ht="15" hidden="false" customHeight="false" outlineLevel="0" collapsed="false">
      <c r="A92" s="2" t="n">
        <v>46081</v>
      </c>
      <c r="B92" s="3" t="s">
        <v>4</v>
      </c>
      <c r="C92" s="4" t="s">
        <v>13</v>
      </c>
      <c r="D92" s="6" t="s">
        <v>28</v>
      </c>
      <c r="E92" s="5" t="n">
        <v>3300000</v>
      </c>
      <c r="F92" s="5"/>
      <c r="G92" s="5" t="n">
        <f aca="false">G91+N(E92)-N(F92)</f>
        <v>105409820</v>
      </c>
    </row>
    <row r="93" customFormat="false" ht="15" hidden="false" customHeight="false" outlineLevel="0" collapsed="false">
      <c r="A93" s="2" t="n">
        <v>46081</v>
      </c>
      <c r="B93" s="3" t="s">
        <v>5</v>
      </c>
      <c r="C93" s="4" t="s">
        <v>7</v>
      </c>
      <c r="D93" s="4" t="s">
        <v>27</v>
      </c>
      <c r="E93" s="5"/>
      <c r="F93" s="5" t="n">
        <v>612022</v>
      </c>
      <c r="G93" s="5" t="n">
        <f aca="false">G92+N(E93)-N(F93)</f>
        <v>104797798</v>
      </c>
    </row>
    <row r="94" customFormat="false" ht="15" hidden="false" customHeight="false" outlineLevel="0" collapsed="false">
      <c r="A94" s="2" t="n">
        <v>46084</v>
      </c>
      <c r="B94" s="3" t="s">
        <v>5</v>
      </c>
      <c r="C94" s="4" t="s">
        <v>7</v>
      </c>
      <c r="D94" s="4" t="s">
        <v>8</v>
      </c>
      <c r="E94" s="5"/>
      <c r="F94" s="5" t="n">
        <v>708352</v>
      </c>
      <c r="G94" s="5" t="n">
        <f aca="false">G93+N(E94)-N(F94)</f>
        <v>104089446</v>
      </c>
    </row>
    <row r="95" customFormat="false" ht="15" hidden="false" customHeight="false" outlineLevel="0" collapsed="false">
      <c r="A95" s="2" t="n">
        <v>46086</v>
      </c>
      <c r="B95" s="3" t="s">
        <v>5</v>
      </c>
      <c r="C95" s="4" t="s">
        <v>9</v>
      </c>
      <c r="D95" s="4" t="s">
        <v>10</v>
      </c>
      <c r="E95" s="5"/>
      <c r="F95" s="5" t="n">
        <v>1500000</v>
      </c>
      <c r="G95" s="5" t="n">
        <f aca="false">G94+N(E95)-N(F95)</f>
        <v>102589446</v>
      </c>
    </row>
    <row r="96" customFormat="false" ht="15" hidden="false" customHeight="false" outlineLevel="0" collapsed="false">
      <c r="A96" s="2" t="n">
        <v>46086</v>
      </c>
      <c r="B96" s="3" t="s">
        <v>5</v>
      </c>
      <c r="C96" s="4" t="s">
        <v>9</v>
      </c>
      <c r="D96" s="4" t="s">
        <v>11</v>
      </c>
      <c r="E96" s="5"/>
      <c r="F96" s="5" t="n">
        <v>220000</v>
      </c>
      <c r="G96" s="5" t="n">
        <f aca="false">G95+N(E96)-N(F96)</f>
        <v>102369446</v>
      </c>
    </row>
    <row r="97" customFormat="false" ht="15" hidden="false" customHeight="false" outlineLevel="0" collapsed="false">
      <c r="A97" s="2" t="n">
        <v>46088</v>
      </c>
      <c r="B97" s="3" t="s">
        <v>5</v>
      </c>
      <c r="C97" s="4" t="s">
        <v>7</v>
      </c>
      <c r="D97" s="4" t="s">
        <v>12</v>
      </c>
      <c r="E97" s="5"/>
      <c r="F97" s="5" t="n">
        <v>320000</v>
      </c>
      <c r="G97" s="5" t="n">
        <f aca="false">G96+N(E97)-N(F97)</f>
        <v>102049446</v>
      </c>
    </row>
    <row r="98" customFormat="false" ht="15" hidden="false" customHeight="false" outlineLevel="0" collapsed="false">
      <c r="A98" s="2" t="n">
        <v>46091</v>
      </c>
      <c r="B98" s="3" t="s">
        <v>5</v>
      </c>
      <c r="C98" s="4" t="s">
        <v>15</v>
      </c>
      <c r="D98" s="6" t="s">
        <v>16</v>
      </c>
      <c r="E98" s="5"/>
      <c r="F98" s="5" t="n">
        <v>2430000</v>
      </c>
      <c r="G98" s="5" t="n">
        <f aca="false">G97+N(E98)-N(F98)</f>
        <v>99619446</v>
      </c>
    </row>
    <row r="99" customFormat="false" ht="15" hidden="false" customHeight="false" outlineLevel="0" collapsed="false">
      <c r="A99" s="2" t="n">
        <v>46091</v>
      </c>
      <c r="B99" s="3" t="s">
        <v>5</v>
      </c>
      <c r="C99" s="4" t="s">
        <v>17</v>
      </c>
      <c r="D99" s="4" t="s">
        <v>18</v>
      </c>
      <c r="E99" s="5"/>
      <c r="F99" s="5" t="n">
        <v>518000</v>
      </c>
      <c r="G99" s="5" t="n">
        <f aca="false">G98+N(E99)-N(F99)</f>
        <v>99101446</v>
      </c>
    </row>
    <row r="100" customFormat="false" ht="15" hidden="false" customHeight="false" outlineLevel="0" collapsed="false">
      <c r="A100" s="2" t="n">
        <v>46093</v>
      </c>
      <c r="B100" s="3" t="s">
        <v>4</v>
      </c>
      <c r="C100" s="4" t="s">
        <v>13</v>
      </c>
      <c r="D100" s="6" t="s">
        <v>49</v>
      </c>
      <c r="E100" s="5" t="n">
        <v>8800000</v>
      </c>
      <c r="F100" s="5"/>
      <c r="G100" s="5" t="n">
        <f aca="false">G99+N(E100)-N(F100)</f>
        <v>107901446</v>
      </c>
    </row>
    <row r="101" customFormat="false" ht="15" hidden="false" customHeight="false" outlineLevel="0" collapsed="false">
      <c r="A101" s="2" t="n">
        <v>46093</v>
      </c>
      <c r="B101" s="3" t="s">
        <v>5</v>
      </c>
      <c r="C101" s="4" t="s">
        <v>7</v>
      </c>
      <c r="D101" s="4" t="s">
        <v>19</v>
      </c>
      <c r="E101" s="5"/>
      <c r="F101" s="5" t="n">
        <v>118000</v>
      </c>
      <c r="G101" s="5" t="n">
        <f aca="false">G100+N(E101)-N(F101)</f>
        <v>107783446</v>
      </c>
    </row>
    <row r="102" customFormat="false" ht="15" hidden="false" customHeight="false" outlineLevel="0" collapsed="false">
      <c r="A102" s="2" t="n">
        <v>46096</v>
      </c>
      <c r="B102" s="3" t="s">
        <v>4</v>
      </c>
      <c r="C102" s="4" t="s">
        <v>7</v>
      </c>
      <c r="D102" s="4" t="s">
        <v>40</v>
      </c>
      <c r="E102" s="5" t="n">
        <v>16428</v>
      </c>
      <c r="F102" s="5"/>
      <c r="G102" s="5" t="n">
        <f aca="false">G101+N(E102)-N(F102)</f>
        <v>107799874</v>
      </c>
    </row>
    <row r="103" customFormat="false" ht="15" hidden="false" customHeight="false" outlineLevel="0" collapsed="false">
      <c r="A103" s="2" t="n">
        <v>46096</v>
      </c>
      <c r="B103" s="3" t="s">
        <v>5</v>
      </c>
      <c r="C103" s="4" t="s">
        <v>20</v>
      </c>
      <c r="D103" s="4" t="s">
        <v>21</v>
      </c>
      <c r="E103" s="5"/>
      <c r="F103" s="5" t="n">
        <v>1369342</v>
      </c>
      <c r="G103" s="5" t="n">
        <f aca="false">G102+N(E103)-N(F103)</f>
        <v>106430532</v>
      </c>
    </row>
    <row r="104" customFormat="false" ht="15" hidden="false" customHeight="false" outlineLevel="0" collapsed="false">
      <c r="A104" s="2" t="n">
        <v>46099</v>
      </c>
      <c r="B104" s="3" t="s">
        <v>5</v>
      </c>
      <c r="C104" s="4" t="s">
        <v>23</v>
      </c>
      <c r="D104" s="4" t="s">
        <v>24</v>
      </c>
      <c r="E104" s="5"/>
      <c r="F104" s="5" t="n">
        <v>415076</v>
      </c>
      <c r="G104" s="5" t="n">
        <f aca="false">G103+N(E104)-N(F104)</f>
        <v>106015456</v>
      </c>
    </row>
    <row r="105" customFormat="false" ht="15" hidden="false" customHeight="false" outlineLevel="0" collapsed="false">
      <c r="A105" s="2" t="n">
        <v>46101</v>
      </c>
      <c r="B105" s="3" t="s">
        <v>5</v>
      </c>
      <c r="C105" s="4" t="s">
        <v>17</v>
      </c>
      <c r="D105" s="4" t="s">
        <v>50</v>
      </c>
      <c r="E105" s="5"/>
      <c r="F105" s="5" t="n">
        <v>86000</v>
      </c>
      <c r="G105" s="5" t="n">
        <f aca="false">G104+N(E105)-N(F105)</f>
        <v>105929456</v>
      </c>
    </row>
    <row r="106" customFormat="false" ht="15" hidden="false" customHeight="false" outlineLevel="0" collapsed="false">
      <c r="A106" s="2" t="n">
        <v>46106</v>
      </c>
      <c r="B106" s="3" t="s">
        <v>5</v>
      </c>
      <c r="C106" s="4" t="s">
        <v>25</v>
      </c>
      <c r="D106" s="4" t="s">
        <v>26</v>
      </c>
      <c r="E106" s="5"/>
      <c r="F106" s="5" t="n">
        <v>12528000</v>
      </c>
      <c r="G106" s="5" t="n">
        <f aca="false">G105+N(E106)-N(F106)</f>
        <v>93401456</v>
      </c>
    </row>
    <row r="107" customFormat="false" ht="15" hidden="false" customHeight="false" outlineLevel="0" collapsed="false">
      <c r="A107" s="2" t="n">
        <v>46108</v>
      </c>
      <c r="B107" s="3" t="s">
        <v>4</v>
      </c>
      <c r="C107" s="4" t="s">
        <v>13</v>
      </c>
      <c r="D107" s="6" t="s">
        <v>51</v>
      </c>
      <c r="E107" s="5" t="n">
        <v>11000000</v>
      </c>
      <c r="F107" s="5"/>
      <c r="G107" s="5" t="n">
        <f aca="false">G106+N(E107)-N(F107)</f>
        <v>104401456</v>
      </c>
    </row>
    <row r="108" customFormat="false" ht="15" hidden="false" customHeight="false" outlineLevel="0" collapsed="false">
      <c r="A108" s="2" t="n">
        <v>46109</v>
      </c>
      <c r="B108" s="3" t="s">
        <v>5</v>
      </c>
      <c r="C108" s="4" t="s">
        <v>7</v>
      </c>
      <c r="D108" s="4" t="s">
        <v>27</v>
      </c>
      <c r="E108" s="5"/>
      <c r="F108" s="5" t="n">
        <v>529243</v>
      </c>
      <c r="G108" s="5" t="n">
        <f aca="false">G107+N(E108)-N(F108)</f>
        <v>103872213</v>
      </c>
    </row>
    <row r="109" customFormat="false" ht="15" hidden="false" customHeight="false" outlineLevel="0" collapsed="false">
      <c r="A109" s="2" t="n">
        <v>46111</v>
      </c>
      <c r="B109" s="3" t="s">
        <v>4</v>
      </c>
      <c r="C109" s="4" t="s">
        <v>13</v>
      </c>
      <c r="D109" s="6" t="s">
        <v>28</v>
      </c>
      <c r="E109" s="5" t="n">
        <v>3300000</v>
      </c>
      <c r="F109" s="5"/>
      <c r="G109" s="5" t="n">
        <f aca="false">G108+N(E109)-N(F109)</f>
        <v>107172213</v>
      </c>
    </row>
    <row r="110" customFormat="false" ht="15" hidden="false" customHeight="false" outlineLevel="0" collapsed="false">
      <c r="A110" s="2" t="n">
        <v>46112</v>
      </c>
      <c r="B110" s="3" t="s">
        <v>5</v>
      </c>
      <c r="C110" s="4" t="s">
        <v>17</v>
      </c>
      <c r="D110" s="4" t="s">
        <v>52</v>
      </c>
      <c r="E110" s="5"/>
      <c r="F110" s="5" t="n">
        <v>1140000</v>
      </c>
      <c r="G110" s="5" t="n">
        <f aca="false">G109+N(E110)-N(F110)</f>
        <v>106032213</v>
      </c>
    </row>
    <row r="111" customFormat="false" ht="15" hidden="false" customHeight="false" outlineLevel="0" collapsed="false">
      <c r="A111" s="2" t="n">
        <v>46115</v>
      </c>
      <c r="B111" s="3" t="s">
        <v>5</v>
      </c>
      <c r="C111" s="4" t="s">
        <v>7</v>
      </c>
      <c r="D111" s="4" t="s">
        <v>8</v>
      </c>
      <c r="E111" s="5"/>
      <c r="F111" s="5" t="n">
        <v>606588</v>
      </c>
      <c r="G111" s="5" t="n">
        <f aca="false">G110+N(E111)-N(F111)</f>
        <v>105425625</v>
      </c>
    </row>
    <row r="112" customFormat="false" ht="15" hidden="false" customHeight="false" outlineLevel="0" collapsed="false">
      <c r="A112" s="2" t="n">
        <v>46117</v>
      </c>
      <c r="B112" s="3" t="s">
        <v>5</v>
      </c>
      <c r="C112" s="4" t="s">
        <v>9</v>
      </c>
      <c r="D112" s="4" t="s">
        <v>10</v>
      </c>
      <c r="E112" s="5"/>
      <c r="F112" s="5" t="n">
        <v>1500000</v>
      </c>
      <c r="G112" s="5" t="n">
        <f aca="false">G111+N(E112)-N(F112)</f>
        <v>103925625</v>
      </c>
    </row>
    <row r="113" customFormat="false" ht="15" hidden="false" customHeight="false" outlineLevel="0" collapsed="false">
      <c r="A113" s="2" t="n">
        <v>46117</v>
      </c>
      <c r="B113" s="3" t="s">
        <v>5</v>
      </c>
      <c r="C113" s="4" t="s">
        <v>9</v>
      </c>
      <c r="D113" s="4" t="s">
        <v>11</v>
      </c>
      <c r="E113" s="5"/>
      <c r="F113" s="5" t="n">
        <v>220000</v>
      </c>
      <c r="G113" s="5" t="n">
        <f aca="false">G112+N(E113)-N(F113)</f>
        <v>103705625</v>
      </c>
    </row>
    <row r="114" customFormat="false" ht="15" hidden="false" customHeight="false" outlineLevel="0" collapsed="false">
      <c r="A114" s="2" t="n">
        <v>46119</v>
      </c>
      <c r="B114" s="3" t="s">
        <v>5</v>
      </c>
      <c r="C114" s="4" t="s">
        <v>7</v>
      </c>
      <c r="D114" s="4" t="s">
        <v>12</v>
      </c>
      <c r="E114" s="5"/>
      <c r="F114" s="5" t="n">
        <v>320000</v>
      </c>
      <c r="G114" s="5" t="n">
        <f aca="false">G113+N(E114)-N(F114)</f>
        <v>103385625</v>
      </c>
    </row>
    <row r="115" customFormat="false" ht="15" hidden="false" customHeight="false" outlineLevel="0" collapsed="false">
      <c r="A115" s="2" t="n">
        <v>46121</v>
      </c>
      <c r="B115" s="3" t="s">
        <v>5</v>
      </c>
      <c r="C115" s="4" t="s">
        <v>34</v>
      </c>
      <c r="D115" s="4" t="s">
        <v>53</v>
      </c>
      <c r="E115" s="5"/>
      <c r="F115" s="5" t="n">
        <v>780000</v>
      </c>
      <c r="G115" s="5" t="n">
        <f aca="false">G114+N(E115)-N(F115)</f>
        <v>102605625</v>
      </c>
    </row>
    <row r="116" customFormat="false" ht="15" hidden="false" customHeight="false" outlineLevel="0" collapsed="false">
      <c r="A116" s="2" t="n">
        <v>46122</v>
      </c>
      <c r="B116" s="3" t="s">
        <v>5</v>
      </c>
      <c r="C116" s="4" t="s">
        <v>15</v>
      </c>
      <c r="D116" s="6" t="s">
        <v>16</v>
      </c>
      <c r="E116" s="5"/>
      <c r="F116" s="5" t="n">
        <v>2430000</v>
      </c>
      <c r="G116" s="5" t="n">
        <f aca="false">G115+N(E116)-N(F116)</f>
        <v>100175625</v>
      </c>
    </row>
    <row r="117" customFormat="false" ht="15" hidden="false" customHeight="false" outlineLevel="0" collapsed="false">
      <c r="A117" s="2" t="n">
        <v>46122</v>
      </c>
      <c r="B117" s="3" t="s">
        <v>5</v>
      </c>
      <c r="C117" s="4" t="s">
        <v>17</v>
      </c>
      <c r="D117" s="4" t="s">
        <v>18</v>
      </c>
      <c r="E117" s="5"/>
      <c r="F117" s="5" t="n">
        <v>518000</v>
      </c>
      <c r="G117" s="5" t="n">
        <f aca="false">G116+N(E117)-N(F117)</f>
        <v>99657625</v>
      </c>
    </row>
    <row r="118" customFormat="false" ht="15" hidden="false" customHeight="false" outlineLevel="0" collapsed="false">
      <c r="A118" s="2" t="n">
        <v>46124</v>
      </c>
      <c r="B118" s="3" t="s">
        <v>5</v>
      </c>
      <c r="C118" s="4" t="s">
        <v>7</v>
      </c>
      <c r="D118" s="4" t="s">
        <v>19</v>
      </c>
      <c r="E118" s="5"/>
      <c r="F118" s="5" t="n">
        <v>118000</v>
      </c>
      <c r="G118" s="5" t="n">
        <f aca="false">G117+N(E118)-N(F118)</f>
        <v>99539625</v>
      </c>
    </row>
    <row r="119" customFormat="false" ht="15" hidden="false" customHeight="false" outlineLevel="0" collapsed="false">
      <c r="A119" s="2" t="n">
        <v>46127</v>
      </c>
      <c r="B119" s="3" t="s">
        <v>4</v>
      </c>
      <c r="C119" s="4" t="s">
        <v>13</v>
      </c>
      <c r="D119" s="6" t="s">
        <v>54</v>
      </c>
      <c r="E119" s="5" t="n">
        <v>16500000</v>
      </c>
      <c r="F119" s="5"/>
      <c r="G119" s="5" t="n">
        <f aca="false">G118+N(E119)-N(F119)</f>
        <v>116039625</v>
      </c>
    </row>
    <row r="120" customFormat="false" ht="15" hidden="false" customHeight="false" outlineLevel="0" collapsed="false">
      <c r="A120" s="2" t="n">
        <v>46127</v>
      </c>
      <c r="B120" s="3" t="s">
        <v>5</v>
      </c>
      <c r="C120" s="4" t="s">
        <v>20</v>
      </c>
      <c r="D120" s="4" t="s">
        <v>21</v>
      </c>
      <c r="E120" s="5"/>
      <c r="F120" s="5" t="n">
        <v>1328782</v>
      </c>
      <c r="G120" s="5" t="n">
        <f aca="false">G119+N(E120)-N(F120)</f>
        <v>114710843</v>
      </c>
    </row>
    <row r="121" customFormat="false" ht="15" hidden="false" customHeight="false" outlineLevel="0" collapsed="false">
      <c r="A121" s="2" t="n">
        <v>46130</v>
      </c>
      <c r="B121" s="3" t="s">
        <v>5</v>
      </c>
      <c r="C121" s="4" t="s">
        <v>23</v>
      </c>
      <c r="D121" s="4" t="s">
        <v>24</v>
      </c>
      <c r="E121" s="5"/>
      <c r="F121" s="5" t="n">
        <v>463193</v>
      </c>
      <c r="G121" s="5" t="n">
        <f aca="false">G120+N(E121)-N(F121)</f>
        <v>114247650</v>
      </c>
    </row>
    <row r="122" customFormat="false" ht="15" hidden="false" customHeight="false" outlineLevel="0" collapsed="false">
      <c r="A122" s="2" t="n">
        <v>46132</v>
      </c>
      <c r="B122" s="3" t="s">
        <v>5</v>
      </c>
      <c r="C122" s="4" t="s">
        <v>30</v>
      </c>
      <c r="D122" s="4" t="s">
        <v>55</v>
      </c>
      <c r="E122" s="5"/>
      <c r="F122" s="5" t="n">
        <v>3900000</v>
      </c>
      <c r="G122" s="5" t="n">
        <f aca="false">G121+N(E122)-N(F122)</f>
        <v>110347650</v>
      </c>
    </row>
    <row r="123" customFormat="false" ht="15" hidden="false" customHeight="false" outlineLevel="0" collapsed="false">
      <c r="A123" s="2" t="n">
        <v>46137</v>
      </c>
      <c r="B123" s="3" t="s">
        <v>5</v>
      </c>
      <c r="C123" s="4" t="s">
        <v>17</v>
      </c>
      <c r="D123" s="4" t="s">
        <v>32</v>
      </c>
      <c r="E123" s="5"/>
      <c r="F123" s="5" t="n">
        <v>2480000</v>
      </c>
      <c r="G123" s="5" t="n">
        <f aca="false">G122+N(E123)-N(F123)</f>
        <v>107867650</v>
      </c>
    </row>
    <row r="124" customFormat="false" ht="15" hidden="false" customHeight="false" outlineLevel="0" collapsed="false">
      <c r="A124" s="2" t="n">
        <v>46137</v>
      </c>
      <c r="B124" s="3" t="s">
        <v>5</v>
      </c>
      <c r="C124" s="4" t="s">
        <v>25</v>
      </c>
      <c r="D124" s="4" t="s">
        <v>26</v>
      </c>
      <c r="E124" s="5"/>
      <c r="F124" s="5" t="n">
        <v>12528000</v>
      </c>
      <c r="G124" s="5" t="n">
        <f aca="false">G123+N(E124)-N(F124)</f>
        <v>95339650</v>
      </c>
    </row>
    <row r="125" customFormat="false" ht="15" hidden="false" customHeight="false" outlineLevel="0" collapsed="false">
      <c r="A125" s="2" t="n">
        <v>46140</v>
      </c>
      <c r="B125" s="3" t="s">
        <v>4</v>
      </c>
      <c r="C125" s="4" t="s">
        <v>13</v>
      </c>
      <c r="D125" s="6" t="s">
        <v>56</v>
      </c>
      <c r="E125" s="5" t="n">
        <v>2200000</v>
      </c>
      <c r="F125" s="5"/>
      <c r="G125" s="5" t="n">
        <f aca="false">G124+N(E125)-N(F125)</f>
        <v>97539650</v>
      </c>
    </row>
    <row r="126" customFormat="false" ht="15" hidden="false" customHeight="false" outlineLevel="0" collapsed="false">
      <c r="A126" s="2" t="n">
        <v>46140</v>
      </c>
      <c r="B126" s="3" t="s">
        <v>5</v>
      </c>
      <c r="C126" s="4" t="s">
        <v>7</v>
      </c>
      <c r="D126" s="4" t="s">
        <v>27</v>
      </c>
      <c r="E126" s="5"/>
      <c r="F126" s="5" t="n">
        <v>554114</v>
      </c>
      <c r="G126" s="5" t="n">
        <f aca="false">G125+N(E126)-N(F126)</f>
        <v>96985536</v>
      </c>
    </row>
    <row r="127" customFormat="false" ht="15" hidden="false" customHeight="false" outlineLevel="0" collapsed="false">
      <c r="A127" s="2" t="n">
        <v>46142</v>
      </c>
      <c r="B127" s="3" t="s">
        <v>4</v>
      </c>
      <c r="C127" s="4" t="s">
        <v>13</v>
      </c>
      <c r="D127" s="6" t="s">
        <v>28</v>
      </c>
      <c r="E127" s="5" t="n">
        <v>3300000</v>
      </c>
      <c r="F127" s="5"/>
      <c r="G127" s="5" t="n">
        <f aca="false">G126+N(E127)-N(F127)</f>
        <v>100285536</v>
      </c>
    </row>
    <row r="128" customFormat="false" ht="15" hidden="false" customHeight="false" outlineLevel="0" collapsed="false">
      <c r="A128" s="2" t="n">
        <v>46145</v>
      </c>
      <c r="B128" s="3" t="s">
        <v>5</v>
      </c>
      <c r="C128" s="4" t="s">
        <v>7</v>
      </c>
      <c r="D128" s="4" t="s">
        <v>8</v>
      </c>
      <c r="E128" s="5"/>
      <c r="F128" s="5" t="n">
        <v>699579</v>
      </c>
      <c r="G128" s="5" t="n">
        <f aca="false">G127+N(E128)-N(F128)</f>
        <v>99585957</v>
      </c>
    </row>
    <row r="129" customFormat="false" ht="15" hidden="false" customHeight="false" outlineLevel="0" collapsed="false">
      <c r="A129" s="2" t="n">
        <v>46147</v>
      </c>
      <c r="B129" s="3" t="s">
        <v>5</v>
      </c>
      <c r="C129" s="4" t="s">
        <v>9</v>
      </c>
      <c r="D129" s="4" t="s">
        <v>10</v>
      </c>
      <c r="E129" s="5"/>
      <c r="F129" s="5" t="n">
        <v>1500000</v>
      </c>
      <c r="G129" s="5" t="n">
        <f aca="false">G128+N(E129)-N(F129)</f>
        <v>98085957</v>
      </c>
    </row>
    <row r="130" customFormat="false" ht="15" hidden="false" customHeight="false" outlineLevel="0" collapsed="false">
      <c r="A130" s="2" t="n">
        <v>46147</v>
      </c>
      <c r="B130" s="3" t="s">
        <v>5</v>
      </c>
      <c r="C130" s="4" t="s">
        <v>9</v>
      </c>
      <c r="D130" s="4" t="s">
        <v>11</v>
      </c>
      <c r="E130" s="5"/>
      <c r="F130" s="5" t="n">
        <v>240000</v>
      </c>
      <c r="G130" s="5" t="n">
        <f aca="false">G129+N(E130)-N(F130)</f>
        <v>97845957</v>
      </c>
    </row>
    <row r="131" customFormat="false" ht="15" hidden="false" customHeight="false" outlineLevel="0" collapsed="false">
      <c r="A131" s="2" t="n">
        <v>46149</v>
      </c>
      <c r="B131" s="3" t="s">
        <v>5</v>
      </c>
      <c r="C131" s="4" t="s">
        <v>7</v>
      </c>
      <c r="D131" s="4" t="s">
        <v>12</v>
      </c>
      <c r="E131" s="5"/>
      <c r="F131" s="5" t="n">
        <v>320000</v>
      </c>
      <c r="G131" s="5" t="n">
        <f aca="false">G130+N(E131)-N(F131)</f>
        <v>97525957</v>
      </c>
    </row>
    <row r="132" customFormat="false" ht="15" hidden="false" customHeight="false" outlineLevel="0" collapsed="false">
      <c r="A132" s="2" t="n">
        <v>46152</v>
      </c>
      <c r="B132" s="3" t="s">
        <v>5</v>
      </c>
      <c r="C132" s="4" t="s">
        <v>15</v>
      </c>
      <c r="D132" s="6" t="s">
        <v>16</v>
      </c>
      <c r="E132" s="5"/>
      <c r="F132" s="5" t="n">
        <v>2430000</v>
      </c>
      <c r="G132" s="5" t="n">
        <f aca="false">G131+N(E132)-N(F132)</f>
        <v>95095957</v>
      </c>
    </row>
    <row r="133" customFormat="false" ht="15" hidden="false" customHeight="false" outlineLevel="0" collapsed="false">
      <c r="A133" s="2" t="n">
        <v>46152</v>
      </c>
      <c r="B133" s="3" t="s">
        <v>5</v>
      </c>
      <c r="C133" s="4" t="s">
        <v>17</v>
      </c>
      <c r="D133" s="4" t="s">
        <v>18</v>
      </c>
      <c r="E133" s="5"/>
      <c r="F133" s="5" t="n">
        <v>518000</v>
      </c>
      <c r="G133" s="5" t="n">
        <f aca="false">G132+N(E133)-N(F133)</f>
        <v>94577957</v>
      </c>
    </row>
    <row r="134" customFormat="false" ht="15" hidden="false" customHeight="false" outlineLevel="0" collapsed="false">
      <c r="A134" s="2" t="n">
        <v>46154</v>
      </c>
      <c r="B134" s="3" t="s">
        <v>5</v>
      </c>
      <c r="C134" s="4" t="s">
        <v>7</v>
      </c>
      <c r="D134" s="4" t="s">
        <v>19</v>
      </c>
      <c r="E134" s="5"/>
      <c r="F134" s="5" t="n">
        <v>118000</v>
      </c>
      <c r="G134" s="5" t="n">
        <f aca="false">G133+N(E134)-N(F134)</f>
        <v>94459957</v>
      </c>
    </row>
    <row r="135" customFormat="false" ht="15" hidden="false" customHeight="false" outlineLevel="0" collapsed="false">
      <c r="A135" s="2" t="n">
        <v>46157</v>
      </c>
      <c r="B135" s="3" t="s">
        <v>5</v>
      </c>
      <c r="C135" s="4" t="s">
        <v>20</v>
      </c>
      <c r="D135" s="4" t="s">
        <v>21</v>
      </c>
      <c r="E135" s="5"/>
      <c r="F135" s="5" t="n">
        <v>2798419</v>
      </c>
      <c r="G135" s="5" t="n">
        <f aca="false">G134+N(E135)-N(F135)</f>
        <v>91661538</v>
      </c>
    </row>
    <row r="136" customFormat="false" ht="15" hidden="false" customHeight="false" outlineLevel="0" collapsed="false">
      <c r="A136" s="2" t="n">
        <v>46160</v>
      </c>
      <c r="B136" s="3" t="s">
        <v>5</v>
      </c>
      <c r="C136" s="4" t="s">
        <v>23</v>
      </c>
      <c r="D136" s="4" t="s">
        <v>24</v>
      </c>
      <c r="E136" s="5"/>
      <c r="F136" s="5" t="n">
        <v>488198</v>
      </c>
      <c r="G136" s="5" t="n">
        <f aca="false">G135+N(E136)-N(F136)</f>
        <v>91173340</v>
      </c>
    </row>
    <row r="137" customFormat="false" ht="15" hidden="false" customHeight="false" outlineLevel="0" collapsed="false">
      <c r="A137" s="2" t="n">
        <v>46163</v>
      </c>
      <c r="B137" s="3" t="s">
        <v>4</v>
      </c>
      <c r="C137" s="4" t="s">
        <v>13</v>
      </c>
      <c r="D137" s="6" t="s">
        <v>57</v>
      </c>
      <c r="E137" s="5" t="n">
        <v>13200000</v>
      </c>
      <c r="F137" s="5"/>
      <c r="G137" s="5" t="n">
        <f aca="false">G136+N(E137)-N(F137)</f>
        <v>104373340</v>
      </c>
    </row>
    <row r="138" customFormat="false" ht="15" hidden="false" customHeight="false" outlineLevel="0" collapsed="false">
      <c r="A138" s="2" t="n">
        <v>46167</v>
      </c>
      <c r="B138" s="3" t="s">
        <v>5</v>
      </c>
      <c r="C138" s="4" t="s">
        <v>25</v>
      </c>
      <c r="D138" s="4" t="s">
        <v>26</v>
      </c>
      <c r="E138" s="5"/>
      <c r="F138" s="5" t="n">
        <v>12528000</v>
      </c>
      <c r="G138" s="5" t="n">
        <f aca="false">G137+N(E138)-N(F138)</f>
        <v>91845340</v>
      </c>
    </row>
    <row r="139" customFormat="false" ht="15" hidden="false" customHeight="false" outlineLevel="0" collapsed="false">
      <c r="A139" s="2" t="n">
        <v>46170</v>
      </c>
      <c r="B139" s="3" t="s">
        <v>5</v>
      </c>
      <c r="C139" s="4" t="s">
        <v>7</v>
      </c>
      <c r="D139" s="4" t="s">
        <v>27</v>
      </c>
      <c r="E139" s="5"/>
      <c r="F139" s="5" t="n">
        <v>526093</v>
      </c>
      <c r="G139" s="5" t="n">
        <f aca="false">G138+N(E139)-N(F139)</f>
        <v>91319247</v>
      </c>
    </row>
    <row r="140" customFormat="false" ht="15" hidden="false" customHeight="false" outlineLevel="0" collapsed="false">
      <c r="A140" s="2" t="n">
        <v>46172</v>
      </c>
      <c r="B140" s="3" t="s">
        <v>4</v>
      </c>
      <c r="C140" s="4" t="s">
        <v>13</v>
      </c>
      <c r="D140" s="6" t="s">
        <v>58</v>
      </c>
      <c r="E140" s="5" t="n">
        <v>1100000</v>
      </c>
      <c r="F140" s="5"/>
      <c r="G140" s="5" t="n">
        <f aca="false">G139+N(E140)-N(F140)</f>
        <v>92419247</v>
      </c>
    </row>
    <row r="141" customFormat="false" ht="15" hidden="false" customHeight="false" outlineLevel="0" collapsed="false">
      <c r="A141" s="2" t="n">
        <v>46176</v>
      </c>
      <c r="B141" s="3" t="s">
        <v>5</v>
      </c>
      <c r="C141" s="4" t="s">
        <v>7</v>
      </c>
      <c r="D141" s="4" t="s">
        <v>8</v>
      </c>
      <c r="E141" s="5"/>
      <c r="F141" s="5" t="n">
        <v>614544</v>
      </c>
      <c r="G141" s="5" t="n">
        <f aca="false">G140+N(E141)-N(F141)</f>
        <v>91804703</v>
      </c>
    </row>
    <row r="142" customFormat="false" ht="15" hidden="false" customHeight="false" outlineLevel="0" collapsed="false">
      <c r="A142" s="2" t="n">
        <v>46178</v>
      </c>
      <c r="B142" s="3" t="s">
        <v>5</v>
      </c>
      <c r="C142" s="4" t="s">
        <v>9</v>
      </c>
      <c r="D142" s="4" t="s">
        <v>10</v>
      </c>
      <c r="E142" s="5"/>
      <c r="F142" s="5" t="n">
        <v>1500000</v>
      </c>
      <c r="G142" s="5" t="n">
        <f aca="false">G141+N(E142)-N(F142)</f>
        <v>90304703</v>
      </c>
    </row>
    <row r="143" customFormat="false" ht="15" hidden="false" customHeight="false" outlineLevel="0" collapsed="false">
      <c r="A143" s="2" t="n">
        <v>46178</v>
      </c>
      <c r="B143" s="3" t="s">
        <v>5</v>
      </c>
      <c r="C143" s="4" t="s">
        <v>9</v>
      </c>
      <c r="D143" s="4" t="s">
        <v>11</v>
      </c>
      <c r="E143" s="5"/>
      <c r="F143" s="5" t="n">
        <v>240000</v>
      </c>
      <c r="G143" s="5" t="n">
        <f aca="false">G142+N(E143)-N(F143)</f>
        <v>90064703</v>
      </c>
    </row>
    <row r="144" customFormat="false" ht="15" hidden="false" customHeight="false" outlineLevel="0" collapsed="false">
      <c r="A144" s="2" t="n">
        <v>46180</v>
      </c>
      <c r="B144" s="3" t="s">
        <v>5</v>
      </c>
      <c r="C144" s="4" t="s">
        <v>7</v>
      </c>
      <c r="D144" s="4" t="s">
        <v>12</v>
      </c>
      <c r="E144" s="5"/>
      <c r="F144" s="5" t="n">
        <v>320000</v>
      </c>
      <c r="G144" s="5" t="n">
        <f aca="false">G143+N(E144)-N(F144)</f>
        <v>89744703</v>
      </c>
    </row>
    <row r="145" customFormat="false" ht="15" hidden="false" customHeight="false" outlineLevel="0" collapsed="false">
      <c r="A145" s="2" t="n">
        <v>46183</v>
      </c>
      <c r="B145" s="3" t="s">
        <v>5</v>
      </c>
      <c r="C145" s="4" t="s">
        <v>15</v>
      </c>
      <c r="D145" s="6" t="s">
        <v>16</v>
      </c>
      <c r="E145" s="5"/>
      <c r="F145" s="5" t="n">
        <v>2430000</v>
      </c>
      <c r="G145" s="5" t="n">
        <f aca="false">G144+N(E145)-N(F145)</f>
        <v>87314703</v>
      </c>
    </row>
    <row r="146" customFormat="false" ht="15" hidden="false" customHeight="false" outlineLevel="0" collapsed="false">
      <c r="A146" s="2" t="n">
        <v>46183</v>
      </c>
      <c r="B146" s="3" t="s">
        <v>5</v>
      </c>
      <c r="C146" s="4" t="s">
        <v>17</v>
      </c>
      <c r="D146" s="4" t="s">
        <v>18</v>
      </c>
      <c r="E146" s="5"/>
      <c r="F146" s="5" t="n">
        <v>518000</v>
      </c>
      <c r="G146" s="5" t="n">
        <f aca="false">G145+N(E146)-N(F146)</f>
        <v>86796703</v>
      </c>
    </row>
    <row r="147" customFormat="false" ht="15" hidden="false" customHeight="false" outlineLevel="0" collapsed="false">
      <c r="A147" s="2" t="n">
        <v>46185</v>
      </c>
      <c r="B147" s="3" t="s">
        <v>5</v>
      </c>
      <c r="C147" s="4" t="s">
        <v>7</v>
      </c>
      <c r="D147" s="4" t="s">
        <v>19</v>
      </c>
      <c r="E147" s="5"/>
      <c r="F147" s="5" t="n">
        <v>118000</v>
      </c>
      <c r="G147" s="5" t="n">
        <f aca="false">G146+N(E147)-N(F147)</f>
        <v>86678703</v>
      </c>
    </row>
    <row r="148" customFormat="false" ht="15" hidden="false" customHeight="false" outlineLevel="0" collapsed="false">
      <c r="A148" s="2" t="n">
        <v>46188</v>
      </c>
      <c r="B148" s="3" t="s">
        <v>4</v>
      </c>
      <c r="C148" s="4" t="s">
        <v>7</v>
      </c>
      <c r="D148" s="4" t="s">
        <v>40</v>
      </c>
      <c r="E148" s="5" t="n">
        <v>14554</v>
      </c>
      <c r="F148" s="5"/>
      <c r="G148" s="5" t="n">
        <f aca="false">G147+N(E148)-N(F148)</f>
        <v>86693257</v>
      </c>
    </row>
    <row r="149" customFormat="false" ht="15" hidden="false" customHeight="false" outlineLevel="0" collapsed="false">
      <c r="A149" s="2" t="n">
        <v>46188</v>
      </c>
      <c r="B149" s="3" t="s">
        <v>5</v>
      </c>
      <c r="C149" s="4" t="s">
        <v>20</v>
      </c>
      <c r="D149" s="4" t="s">
        <v>21</v>
      </c>
      <c r="E149" s="5"/>
      <c r="F149" s="5" t="n">
        <v>2988946</v>
      </c>
      <c r="G149" s="5" t="n">
        <f aca="false">G148+N(E149)-N(F149)</f>
        <v>83704311</v>
      </c>
    </row>
    <row r="150" customFormat="false" ht="15" hidden="false" customHeight="false" outlineLevel="0" collapsed="false">
      <c r="A150" s="2" t="n">
        <v>46191</v>
      </c>
      <c r="B150" s="3" t="s">
        <v>4</v>
      </c>
      <c r="C150" s="4" t="s">
        <v>13</v>
      </c>
      <c r="D150" s="6" t="s">
        <v>59</v>
      </c>
      <c r="E150" s="5" t="n">
        <v>4400000</v>
      </c>
      <c r="F150" s="5"/>
      <c r="G150" s="5" t="n">
        <f aca="false">G149+N(E150)-N(F150)</f>
        <v>88104311</v>
      </c>
    </row>
    <row r="151" customFormat="false" ht="15" hidden="false" customHeight="false" outlineLevel="0" collapsed="false">
      <c r="A151" s="2" t="n">
        <v>46191</v>
      </c>
      <c r="B151" s="3" t="s">
        <v>5</v>
      </c>
      <c r="C151" s="4" t="s">
        <v>23</v>
      </c>
      <c r="D151" s="4" t="s">
        <v>24</v>
      </c>
      <c r="E151" s="5"/>
      <c r="F151" s="5" t="n">
        <v>582582</v>
      </c>
      <c r="G151" s="5" t="n">
        <f aca="false">G150+N(E151)-N(F151)</f>
        <v>87521729</v>
      </c>
    </row>
    <row r="152" customFormat="false" ht="15" hidden="false" customHeight="false" outlineLevel="0" collapsed="false">
      <c r="A152" s="2" t="n">
        <v>46198</v>
      </c>
      <c r="B152" s="3" t="s">
        <v>5</v>
      </c>
      <c r="C152" s="4" t="s">
        <v>25</v>
      </c>
      <c r="D152" s="4" t="s">
        <v>26</v>
      </c>
      <c r="E152" s="5"/>
      <c r="F152" s="5" t="n">
        <v>12528000</v>
      </c>
      <c r="G152" s="5" t="n">
        <f aca="false">G151+N(E152)-N(F152)</f>
        <v>74993729</v>
      </c>
    </row>
    <row r="153" customFormat="false" ht="15" hidden="false" customHeight="false" outlineLevel="0" collapsed="false">
      <c r="A153" s="2" t="n">
        <v>46201</v>
      </c>
      <c r="B153" s="3" t="s">
        <v>5</v>
      </c>
      <c r="C153" s="4" t="s">
        <v>7</v>
      </c>
      <c r="D153" s="4" t="s">
        <v>27</v>
      </c>
      <c r="E153" s="5"/>
      <c r="F153" s="5" t="n">
        <v>633347</v>
      </c>
      <c r="G153" s="5" t="n">
        <f aca="false">G152+N(E153)-N(F153)</f>
        <v>74360382</v>
      </c>
    </row>
    <row r="154" customFormat="false" ht="15" hidden="false" customHeight="false" outlineLevel="0" collapsed="false">
      <c r="A154" s="2" t="n">
        <v>46202</v>
      </c>
      <c r="B154" s="3" t="s">
        <v>4</v>
      </c>
      <c r="C154" s="4" t="s">
        <v>13</v>
      </c>
      <c r="D154" s="6" t="s">
        <v>60</v>
      </c>
      <c r="E154" s="5" t="n">
        <v>5500000</v>
      </c>
      <c r="F154" s="5"/>
      <c r="G154" s="5" t="n">
        <f aca="false">G153+N(E154)-N(F154)</f>
        <v>79860382</v>
      </c>
    </row>
    <row r="155" customFormat="false" ht="15" hidden="false" customHeight="false" outlineLevel="0" collapsed="false">
      <c r="A155" s="2" t="n">
        <v>46203</v>
      </c>
      <c r="B155" s="3" t="s">
        <v>4</v>
      </c>
      <c r="C155" s="4" t="s">
        <v>13</v>
      </c>
      <c r="D155" s="6" t="s">
        <v>58</v>
      </c>
      <c r="E155" s="5" t="n">
        <v>1100000</v>
      </c>
      <c r="F155" s="5"/>
      <c r="G155" s="5" t="n">
        <f aca="false">G154+N(E155)-N(F155)</f>
        <v>80960382</v>
      </c>
    </row>
    <row r="156" customFormat="false" ht="15" hidden="false" customHeight="false" outlineLevel="0" collapsed="false">
      <c r="A156" s="2" t="n">
        <v>46206</v>
      </c>
      <c r="B156" s="3" t="s">
        <v>5</v>
      </c>
      <c r="C156" s="4" t="s">
        <v>7</v>
      </c>
      <c r="D156" s="4" t="s">
        <v>8</v>
      </c>
      <c r="E156" s="5"/>
      <c r="F156" s="5" t="n">
        <v>683611</v>
      </c>
      <c r="G156" s="5" t="n">
        <f aca="false">G155+N(E156)-N(F156)</f>
        <v>80276771</v>
      </c>
    </row>
    <row r="157" customFormat="false" ht="15" hidden="false" customHeight="false" outlineLevel="0" collapsed="false">
      <c r="A157" s="2" t="n">
        <v>46208</v>
      </c>
      <c r="B157" s="3" t="s">
        <v>5</v>
      </c>
      <c r="C157" s="4" t="s">
        <v>9</v>
      </c>
      <c r="D157" s="4" t="s">
        <v>10</v>
      </c>
      <c r="E157" s="5"/>
      <c r="F157" s="5" t="n">
        <v>1500000</v>
      </c>
      <c r="G157" s="5" t="n">
        <f aca="false">G156+N(E157)-N(F157)</f>
        <v>78776771</v>
      </c>
    </row>
    <row r="158" customFormat="false" ht="15" hidden="false" customHeight="false" outlineLevel="0" collapsed="false">
      <c r="A158" s="2" t="n">
        <v>46208</v>
      </c>
      <c r="B158" s="3" t="s">
        <v>5</v>
      </c>
      <c r="C158" s="4" t="s">
        <v>9</v>
      </c>
      <c r="D158" s="4" t="s">
        <v>11</v>
      </c>
      <c r="E158" s="5"/>
      <c r="F158" s="5" t="n">
        <v>220000</v>
      </c>
      <c r="G158" s="5" t="n">
        <f aca="false">G157+N(E158)-N(F158)</f>
        <v>78556771</v>
      </c>
    </row>
    <row r="159" customFormat="false" ht="15" hidden="false" customHeight="false" outlineLevel="0" collapsed="false">
      <c r="A159" s="2" t="n">
        <v>46210</v>
      </c>
      <c r="B159" s="3" t="s">
        <v>5</v>
      </c>
      <c r="C159" s="4" t="s">
        <v>7</v>
      </c>
      <c r="D159" s="4" t="s">
        <v>12</v>
      </c>
      <c r="E159" s="5"/>
      <c r="F159" s="5" t="n">
        <v>320000</v>
      </c>
      <c r="G159" s="5" t="n">
        <f aca="false">G158+N(E159)-N(F159)</f>
        <v>78236771</v>
      </c>
    </row>
    <row r="160" customFormat="false" ht="15" hidden="false" customHeight="false" outlineLevel="0" collapsed="false">
      <c r="A160" s="2" t="n">
        <v>46212</v>
      </c>
      <c r="B160" s="3" t="s">
        <v>4</v>
      </c>
      <c r="C160" s="4" t="s">
        <v>13</v>
      </c>
      <c r="D160" s="6" t="s">
        <v>61</v>
      </c>
      <c r="E160" s="5" t="n">
        <v>8800000</v>
      </c>
      <c r="F160" s="5"/>
      <c r="G160" s="5" t="n">
        <f aca="false">G159+N(E160)-N(F160)</f>
        <v>87036771</v>
      </c>
    </row>
    <row r="161" customFormat="false" ht="15" hidden="false" customHeight="false" outlineLevel="0" collapsed="false">
      <c r="A161" s="2" t="n">
        <v>46213</v>
      </c>
      <c r="B161" s="3" t="s">
        <v>5</v>
      </c>
      <c r="C161" s="4" t="s">
        <v>15</v>
      </c>
      <c r="D161" s="6" t="s">
        <v>16</v>
      </c>
      <c r="E161" s="5"/>
      <c r="F161" s="5" t="n">
        <v>2430000</v>
      </c>
      <c r="G161" s="5" t="n">
        <f aca="false">G160+N(E161)-N(F161)</f>
        <v>84606771</v>
      </c>
    </row>
    <row r="162" customFormat="false" ht="15" hidden="false" customHeight="false" outlineLevel="0" collapsed="false">
      <c r="A162" s="2" t="n">
        <v>46213</v>
      </c>
      <c r="B162" s="3" t="s">
        <v>5</v>
      </c>
      <c r="C162" s="4" t="s">
        <v>17</v>
      </c>
      <c r="D162" s="4" t="s">
        <v>18</v>
      </c>
      <c r="E162" s="5"/>
      <c r="F162" s="5" t="n">
        <v>518000</v>
      </c>
      <c r="G162" s="5" t="n">
        <f aca="false">G161+N(E162)-N(F162)</f>
        <v>84088771</v>
      </c>
    </row>
    <row r="163" customFormat="false" ht="15" hidden="false" customHeight="false" outlineLevel="0" collapsed="false">
      <c r="A163" s="2" t="n">
        <v>46215</v>
      </c>
      <c r="B163" s="3" t="s">
        <v>5</v>
      </c>
      <c r="C163" s="4" t="s">
        <v>7</v>
      </c>
      <c r="D163" s="4" t="s">
        <v>19</v>
      </c>
      <c r="E163" s="5"/>
      <c r="F163" s="5" t="n">
        <v>118000</v>
      </c>
      <c r="G163" s="5" t="n">
        <f aca="false">G162+N(E163)-N(F163)</f>
        <v>83970771</v>
      </c>
    </row>
    <row r="164" customFormat="false" ht="15" hidden="false" customHeight="false" outlineLevel="0" collapsed="false">
      <c r="A164" s="2" t="n">
        <v>46217</v>
      </c>
      <c r="B164" s="3" t="s">
        <v>5</v>
      </c>
      <c r="C164" s="4" t="s">
        <v>30</v>
      </c>
      <c r="D164" s="4" t="s">
        <v>62</v>
      </c>
      <c r="E164" s="5"/>
      <c r="F164" s="5" t="n">
        <v>1650000</v>
      </c>
      <c r="G164" s="5" t="n">
        <f aca="false">G163+N(E164)-N(F164)</f>
        <v>82320771</v>
      </c>
    </row>
    <row r="165" customFormat="false" ht="15" hidden="false" customHeight="false" outlineLevel="0" collapsed="false">
      <c r="A165" s="2" t="n">
        <v>46218</v>
      </c>
      <c r="B165" s="3" t="s">
        <v>5</v>
      </c>
      <c r="C165" s="4" t="s">
        <v>20</v>
      </c>
      <c r="D165" s="4" t="s">
        <v>21</v>
      </c>
      <c r="E165" s="5"/>
      <c r="F165" s="5" t="n">
        <v>2825929</v>
      </c>
      <c r="G165" s="5" t="n">
        <f aca="false">G164+N(E165)-N(F165)</f>
        <v>79494842</v>
      </c>
    </row>
    <row r="166" customFormat="false" ht="15" hidden="false" customHeight="false" outlineLevel="0" collapsed="false">
      <c r="A166" s="2" t="n">
        <v>46221</v>
      </c>
      <c r="B166" s="3" t="s">
        <v>5</v>
      </c>
      <c r="C166" s="4" t="s">
        <v>23</v>
      </c>
      <c r="D166" s="4" t="s">
        <v>24</v>
      </c>
      <c r="E166" s="5"/>
      <c r="F166" s="5" t="n">
        <v>472975</v>
      </c>
      <c r="G166" s="5" t="n">
        <f aca="false">G165+N(E166)-N(F166)</f>
        <v>79021867</v>
      </c>
    </row>
    <row r="167" customFormat="false" ht="15" hidden="false" customHeight="false" outlineLevel="0" collapsed="false">
      <c r="A167" s="2" t="n">
        <v>46228</v>
      </c>
      <c r="B167" s="3" t="s">
        <v>5</v>
      </c>
      <c r="C167" s="4" t="s">
        <v>17</v>
      </c>
      <c r="D167" s="4" t="s">
        <v>32</v>
      </c>
      <c r="E167" s="5"/>
      <c r="F167" s="5" t="n">
        <v>1310000</v>
      </c>
      <c r="G167" s="5" t="n">
        <f aca="false">G166+N(E167)-N(F167)</f>
        <v>77711867</v>
      </c>
    </row>
    <row r="168" customFormat="false" ht="15" hidden="false" customHeight="false" outlineLevel="0" collapsed="false">
      <c r="A168" s="2" t="n">
        <v>46228</v>
      </c>
      <c r="B168" s="3" t="s">
        <v>5</v>
      </c>
      <c r="C168" s="4" t="s">
        <v>25</v>
      </c>
      <c r="D168" s="4" t="s">
        <v>26</v>
      </c>
      <c r="E168" s="5"/>
      <c r="F168" s="5" t="n">
        <v>12528000</v>
      </c>
      <c r="G168" s="5" t="n">
        <f aca="false">G167+N(E168)-N(F168)</f>
        <v>65183867</v>
      </c>
    </row>
    <row r="169" customFormat="false" ht="15" hidden="false" customHeight="false" outlineLevel="0" collapsed="false">
      <c r="A169" s="2" t="n">
        <v>46231</v>
      </c>
      <c r="B169" s="3" t="s">
        <v>5</v>
      </c>
      <c r="C169" s="4" t="s">
        <v>7</v>
      </c>
      <c r="D169" s="4" t="s">
        <v>27</v>
      </c>
      <c r="E169" s="5"/>
      <c r="F169" s="5" t="n">
        <v>568048</v>
      </c>
      <c r="G169" s="5" t="n">
        <f aca="false">G168+N(E169)-N(F169)</f>
        <v>64615819</v>
      </c>
    </row>
    <row r="170" customFormat="false" ht="15" hidden="false" customHeight="false" outlineLevel="0" collapsed="false">
      <c r="A170" s="2" t="n">
        <v>46233</v>
      </c>
      <c r="B170" s="3" t="s">
        <v>4</v>
      </c>
      <c r="C170" s="4" t="s">
        <v>13</v>
      </c>
      <c r="D170" s="6" t="s">
        <v>58</v>
      </c>
      <c r="E170" s="5" t="n">
        <v>1100000</v>
      </c>
      <c r="F170" s="5"/>
      <c r="G170" s="5" t="n">
        <f aca="false">G169+N(E170)-N(F170)</f>
        <v>65715819</v>
      </c>
    </row>
    <row r="171" customFormat="false" ht="15" hidden="false" customHeight="false" outlineLevel="0" collapsed="false">
      <c r="A171" s="2" t="n">
        <v>46237</v>
      </c>
      <c r="B171" s="3" t="s">
        <v>5</v>
      </c>
      <c r="C171" s="4" t="s">
        <v>7</v>
      </c>
      <c r="D171" s="4" t="s">
        <v>8</v>
      </c>
      <c r="E171" s="5"/>
      <c r="F171" s="5" t="n">
        <v>717420</v>
      </c>
      <c r="G171" s="5" t="n">
        <f aca="false">G170+N(E171)-N(F171)</f>
        <v>64998399</v>
      </c>
    </row>
    <row r="172" customFormat="false" ht="15" hidden="false" customHeight="false" outlineLevel="0" collapsed="false">
      <c r="A172" s="2" t="n">
        <v>46239</v>
      </c>
      <c r="B172" s="3" t="s">
        <v>5</v>
      </c>
      <c r="C172" s="4" t="s">
        <v>9</v>
      </c>
      <c r="D172" s="4" t="s">
        <v>10</v>
      </c>
      <c r="E172" s="5"/>
      <c r="F172" s="5" t="n">
        <v>1500000</v>
      </c>
      <c r="G172" s="5" t="n">
        <f aca="false">G171+N(E172)-N(F172)</f>
        <v>63498399</v>
      </c>
    </row>
    <row r="173" customFormat="false" ht="15" hidden="false" customHeight="false" outlineLevel="0" collapsed="false">
      <c r="A173" s="2" t="n">
        <v>46239</v>
      </c>
      <c r="B173" s="3" t="s">
        <v>5</v>
      </c>
      <c r="C173" s="4" t="s">
        <v>9</v>
      </c>
      <c r="D173" s="4" t="s">
        <v>11</v>
      </c>
      <c r="E173" s="5"/>
      <c r="F173" s="5" t="n">
        <v>230000</v>
      </c>
      <c r="G173" s="5" t="n">
        <f aca="false">G172+N(E173)-N(F173)</f>
        <v>63268399</v>
      </c>
    </row>
    <row r="174" customFormat="false" ht="15" hidden="false" customHeight="false" outlineLevel="0" collapsed="false">
      <c r="A174" s="2" t="n">
        <v>46241</v>
      </c>
      <c r="B174" s="3" t="s">
        <v>5</v>
      </c>
      <c r="C174" s="4" t="s">
        <v>7</v>
      </c>
      <c r="D174" s="4" t="s">
        <v>12</v>
      </c>
      <c r="E174" s="5"/>
      <c r="F174" s="5" t="n">
        <v>320000</v>
      </c>
      <c r="G174" s="5" t="n">
        <f aca="false">G173+N(E174)-N(F174)</f>
        <v>62948399</v>
      </c>
    </row>
    <row r="175" customFormat="false" ht="15" hidden="false" customHeight="false" outlineLevel="0" collapsed="false">
      <c r="A175" s="2" t="n">
        <v>46244</v>
      </c>
      <c r="B175" s="3" t="s">
        <v>5</v>
      </c>
      <c r="C175" s="4" t="s">
        <v>15</v>
      </c>
      <c r="D175" s="6" t="s">
        <v>16</v>
      </c>
      <c r="E175" s="5"/>
      <c r="F175" s="5" t="n">
        <v>2430000</v>
      </c>
      <c r="G175" s="5" t="n">
        <f aca="false">G174+N(E175)-N(F175)</f>
        <v>60518399</v>
      </c>
    </row>
    <row r="176" customFormat="false" ht="15" hidden="false" customHeight="false" outlineLevel="0" collapsed="false">
      <c r="A176" s="2" t="n">
        <v>46244</v>
      </c>
      <c r="B176" s="3" t="s">
        <v>5</v>
      </c>
      <c r="C176" s="4" t="s">
        <v>17</v>
      </c>
      <c r="D176" s="4" t="s">
        <v>18</v>
      </c>
      <c r="E176" s="5"/>
      <c r="F176" s="5" t="n">
        <v>518000</v>
      </c>
      <c r="G176" s="5" t="n">
        <f aca="false">G175+N(E176)-N(F176)</f>
        <v>60000399</v>
      </c>
    </row>
    <row r="177" customFormat="false" ht="15" hidden="false" customHeight="false" outlineLevel="0" collapsed="false">
      <c r="A177" s="2" t="n">
        <v>46246</v>
      </c>
      <c r="B177" s="3" t="s">
        <v>5</v>
      </c>
      <c r="C177" s="4" t="s">
        <v>7</v>
      </c>
      <c r="D177" s="4" t="s">
        <v>19</v>
      </c>
      <c r="E177" s="5"/>
      <c r="F177" s="5" t="n">
        <v>118000</v>
      </c>
      <c r="G177" s="5" t="n">
        <f aca="false">G176+N(E177)-N(F177)</f>
        <v>59882399</v>
      </c>
    </row>
    <row r="178" customFormat="false" ht="15" hidden="false" customHeight="false" outlineLevel="0" collapsed="false">
      <c r="A178" s="2" t="n">
        <v>46249</v>
      </c>
      <c r="B178" s="3" t="s">
        <v>5</v>
      </c>
      <c r="C178" s="4" t="s">
        <v>20</v>
      </c>
      <c r="D178" s="4" t="s">
        <v>21</v>
      </c>
      <c r="E178" s="5"/>
      <c r="F178" s="5" t="n">
        <v>2768315</v>
      </c>
      <c r="G178" s="5" t="n">
        <f aca="false">G177+N(E178)-N(F178)</f>
        <v>57114084</v>
      </c>
    </row>
    <row r="179" customFormat="false" ht="15" hidden="false" customHeight="false" outlineLevel="0" collapsed="false">
      <c r="A179" s="2" t="n">
        <v>46252</v>
      </c>
      <c r="B179" s="3" t="s">
        <v>5</v>
      </c>
      <c r="C179" s="4" t="s">
        <v>23</v>
      </c>
      <c r="D179" s="4" t="s">
        <v>24</v>
      </c>
      <c r="E179" s="5"/>
      <c r="F179" s="5" t="n">
        <v>558673</v>
      </c>
      <c r="G179" s="5" t="n">
        <f aca="false">G178+N(E179)-N(F179)</f>
        <v>56555411</v>
      </c>
    </row>
    <row r="180" customFormat="false" ht="15" hidden="false" customHeight="false" outlineLevel="0" collapsed="false">
      <c r="A180" s="2" t="n">
        <v>46259</v>
      </c>
      <c r="B180" s="3" t="s">
        <v>5</v>
      </c>
      <c r="C180" s="4" t="s">
        <v>25</v>
      </c>
      <c r="D180" s="4" t="s">
        <v>26</v>
      </c>
      <c r="E180" s="5"/>
      <c r="F180" s="5" t="n">
        <v>12528000</v>
      </c>
      <c r="G180" s="5" t="n">
        <f aca="false">G179+N(E180)-N(F180)</f>
        <v>44027411</v>
      </c>
    </row>
    <row r="181" customFormat="false" ht="15" hidden="false" customHeight="false" outlineLevel="0" collapsed="false">
      <c r="A181" s="2" t="n">
        <v>46260</v>
      </c>
      <c r="B181" s="3" t="s">
        <v>4</v>
      </c>
      <c r="C181" s="4" t="s">
        <v>13</v>
      </c>
      <c r="D181" s="6" t="s">
        <v>63</v>
      </c>
      <c r="E181" s="5" t="n">
        <v>9900000</v>
      </c>
      <c r="F181" s="5"/>
      <c r="G181" s="5" t="n">
        <f aca="false">G180+N(E181)-N(F181)</f>
        <v>53927411</v>
      </c>
    </row>
    <row r="182" customFormat="false" ht="15" hidden="false" customHeight="false" outlineLevel="0" collapsed="false">
      <c r="A182" s="2" t="n">
        <v>46262</v>
      </c>
      <c r="B182" s="3" t="s">
        <v>5</v>
      </c>
      <c r="C182" s="4" t="s">
        <v>7</v>
      </c>
      <c r="D182" s="4" t="s">
        <v>27</v>
      </c>
      <c r="E182" s="5"/>
      <c r="F182" s="5" t="n">
        <v>671615</v>
      </c>
      <c r="G182" s="5" t="n">
        <f aca="false">G181+N(E182)-N(F182)</f>
        <v>53255796</v>
      </c>
    </row>
    <row r="183" customFormat="false" ht="15" hidden="false" customHeight="false" outlineLevel="0" collapsed="false">
      <c r="A183" s="2" t="n">
        <v>46264</v>
      </c>
      <c r="B183" s="3" t="s">
        <v>4</v>
      </c>
      <c r="C183" s="4" t="s">
        <v>13</v>
      </c>
      <c r="D183" s="6" t="s">
        <v>58</v>
      </c>
      <c r="E183" s="5" t="n">
        <v>1100000</v>
      </c>
      <c r="F183" s="5"/>
      <c r="G183" s="5" t="n">
        <f aca="false">G182+N(E183)-N(F183)</f>
        <v>54355796</v>
      </c>
    </row>
    <row r="184" customFormat="false" ht="15" hidden="false" customHeight="false" outlineLevel="0" collapsed="false">
      <c r="A184" s="2" t="n">
        <v>46265</v>
      </c>
      <c r="B184" s="3" t="s">
        <v>5</v>
      </c>
      <c r="C184" s="4" t="s">
        <v>17</v>
      </c>
      <c r="D184" s="4" t="s">
        <v>64</v>
      </c>
      <c r="E184" s="5"/>
      <c r="F184" s="5" t="n">
        <v>62500</v>
      </c>
      <c r="G184" s="5" t="n">
        <f aca="false">G183+N(E184)-N(F184)</f>
        <v>54293296</v>
      </c>
    </row>
  </sheetData>
  <autoFilter ref="A1:G1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4"/>
    <col collapsed="false" customWidth="true" hidden="false" outlineLevel="0" max="7" min="7" style="0" width="15"/>
  </cols>
  <sheetData>
    <row r="1" customFormat="false" ht="19.4" hidden="false" customHeight="false" outlineLevel="0" collapsed="false">
      <c r="A1" s="7" t="s">
        <v>65</v>
      </c>
    </row>
    <row r="2" customFormat="false" ht="15" hidden="false" customHeight="false" outlineLevel="0" collapsed="false">
      <c r="A2" s="8" t="s">
        <v>66</v>
      </c>
    </row>
    <row r="3" customFormat="false" ht="15" hidden="false" customHeight="false" outlineLevel="0" collapsed="false">
      <c r="A3" s="9" t="s">
        <v>67</v>
      </c>
      <c r="B3" s="10" t="n">
        <v>82000000</v>
      </c>
      <c r="C3" s="8" t="s">
        <v>68</v>
      </c>
    </row>
    <row r="4" customFormat="false" ht="15" hidden="false" customHeight="false" outlineLevel="0" collapsed="false">
      <c r="A4" s="1" t="s">
        <v>69</v>
      </c>
      <c r="B4" s="1" t="s">
        <v>70</v>
      </c>
      <c r="C4" s="1" t="s">
        <v>71</v>
      </c>
      <c r="D4" s="1" t="s">
        <v>72</v>
      </c>
      <c r="E4" s="1" t="s">
        <v>73</v>
      </c>
      <c r="F4" s="1" t="s">
        <v>74</v>
      </c>
      <c r="G4" s="1" t="s">
        <v>75</v>
      </c>
    </row>
    <row r="5" customFormat="false" ht="15" hidden="false" customHeight="false" outlineLevel="0" collapsed="false">
      <c r="A5" s="6" t="s">
        <v>76</v>
      </c>
      <c r="B5" s="11" t="n">
        <v>45901</v>
      </c>
      <c r="C5" s="11" t="n">
        <v>45930</v>
      </c>
      <c r="D5" s="5" t="n">
        <f aca="false">SUMIFS(거래내역!$E$2:$E$184,거래내역!$A$2:$A$184,"&gt;="&amp;B5,거래내역!$A$2:$A$184,"&lt;="&amp;C5)</f>
        <v>17600000</v>
      </c>
      <c r="E5" s="5" t="n">
        <f aca="false">SUMIFS(거래내역!$F$2:$F$184,거래내역!$A$2:$A$184,"&gt;="&amp;B5,거래내역!$A$2:$A$184,"&lt;="&amp;C5)</f>
        <v>20110573</v>
      </c>
      <c r="F5" s="5" t="n">
        <f aca="false">D5-E5</f>
        <v>-2510573</v>
      </c>
      <c r="G5" s="12" t="n">
        <f aca="false">$B$3+F5</f>
        <v>79489427</v>
      </c>
    </row>
    <row r="6" customFormat="false" ht="15" hidden="false" customHeight="false" outlineLevel="0" collapsed="false">
      <c r="A6" s="6" t="s">
        <v>77</v>
      </c>
      <c r="B6" s="11" t="n">
        <v>45931</v>
      </c>
      <c r="C6" s="11" t="n">
        <v>45961</v>
      </c>
      <c r="D6" s="5" t="n">
        <f aca="false">SUMIFS(거래내역!$E$2:$E$184,거래내역!$A$2:$A$184,"&gt;="&amp;B6,거래내역!$A$2:$A$184,"&lt;="&amp;C6)</f>
        <v>25300000</v>
      </c>
      <c r="E6" s="5" t="n">
        <f aca="false">SUMIFS(거래내역!$F$2:$F$184,거래내역!$A$2:$A$184,"&gt;="&amp;B6,거래내역!$A$2:$A$184,"&lt;="&amp;C6)</f>
        <v>25284777</v>
      </c>
      <c r="F6" s="5" t="n">
        <f aca="false">D6-E6</f>
        <v>15223</v>
      </c>
      <c r="G6" s="12" t="n">
        <f aca="false">G5+F6</f>
        <v>79504650</v>
      </c>
    </row>
    <row r="7" customFormat="false" ht="15" hidden="false" customHeight="false" outlineLevel="0" collapsed="false">
      <c r="A7" s="6" t="s">
        <v>78</v>
      </c>
      <c r="B7" s="11" t="n">
        <v>45962</v>
      </c>
      <c r="C7" s="11" t="n">
        <v>45991</v>
      </c>
      <c r="D7" s="5" t="n">
        <f aca="false">SUMIFS(거래내역!$E$2:$E$184,거래내역!$A$2:$A$184,"&gt;="&amp;B7,거래내역!$A$2:$A$184,"&lt;="&amp;C7)</f>
        <v>22000000</v>
      </c>
      <c r="E7" s="5" t="n">
        <f aca="false">SUMIFS(거래내역!$F$2:$F$184,거래내역!$A$2:$A$184,"&gt;="&amp;B7,거래내역!$A$2:$A$184,"&lt;="&amp;C7)</f>
        <v>23314604</v>
      </c>
      <c r="F7" s="5" t="n">
        <f aca="false">D7-E7</f>
        <v>-1314604</v>
      </c>
      <c r="G7" s="12" t="n">
        <f aca="false">G6+F7</f>
        <v>78190046</v>
      </c>
    </row>
    <row r="8" customFormat="false" ht="15" hidden="false" customHeight="false" outlineLevel="0" collapsed="false">
      <c r="A8" s="6" t="s">
        <v>79</v>
      </c>
      <c r="B8" s="11" t="n">
        <v>45992</v>
      </c>
      <c r="C8" s="11" t="n">
        <v>46022</v>
      </c>
      <c r="D8" s="5" t="n">
        <f aca="false">SUMIFS(거래내역!$E$2:$E$184,거래내역!$A$2:$A$184,"&gt;="&amp;B8,거래내역!$A$2:$A$184,"&lt;="&amp;C8)</f>
        <v>36319632</v>
      </c>
      <c r="E8" s="5" t="n">
        <f aca="false">SUMIFS(거래내역!$F$2:$F$184,거래내역!$A$2:$A$184,"&gt;="&amp;B8,거래내역!$A$2:$A$184,"&lt;="&amp;C8)</f>
        <v>21335205</v>
      </c>
      <c r="F8" s="5" t="n">
        <f aca="false">D8-E8</f>
        <v>14984427</v>
      </c>
      <c r="G8" s="12" t="n">
        <f aca="false">G7+F8</f>
        <v>93174473</v>
      </c>
    </row>
    <row r="9" customFormat="false" ht="15" hidden="false" customHeight="false" outlineLevel="0" collapsed="false">
      <c r="A9" s="6" t="s">
        <v>80</v>
      </c>
      <c r="B9" s="11" t="n">
        <v>46023</v>
      </c>
      <c r="C9" s="11" t="n">
        <v>46053</v>
      </c>
      <c r="D9" s="5" t="n">
        <f aca="false">SUMIFS(거래내역!$E$2:$E$184,거래내역!$A$2:$A$184,"&gt;="&amp;B9,거래내역!$A$2:$A$184,"&lt;="&amp;C9)</f>
        <v>23100000</v>
      </c>
      <c r="E9" s="5" t="n">
        <f aca="false">SUMIFS(거래내역!$F$2:$F$184,거래내역!$A$2:$A$184,"&gt;="&amp;B9,거래내역!$A$2:$A$184,"&lt;="&amp;C9)</f>
        <v>22711067</v>
      </c>
      <c r="F9" s="5" t="n">
        <f aca="false">D9-E9</f>
        <v>388933</v>
      </c>
      <c r="G9" s="12" t="n">
        <f aca="false">G8+F9</f>
        <v>93563406</v>
      </c>
    </row>
    <row r="10" customFormat="false" ht="15" hidden="false" customHeight="false" outlineLevel="0" collapsed="false">
      <c r="A10" s="6" t="s">
        <v>81</v>
      </c>
      <c r="B10" s="11" t="n">
        <v>46054</v>
      </c>
      <c r="C10" s="11" t="n">
        <v>46081</v>
      </c>
      <c r="D10" s="5" t="n">
        <f aca="false">SUMIFS(거래내역!$E$2:$E$184,거래내역!$A$2:$A$184,"&gt;="&amp;B10,거래내역!$A$2:$A$184,"&lt;="&amp;C10)</f>
        <v>31800000</v>
      </c>
      <c r="E10" s="5" t="n">
        <f aca="false">SUMIFS(거래내역!$F$2:$F$184,거래내역!$A$2:$A$184,"&gt;="&amp;B10,거래내역!$A$2:$A$184,"&lt;="&amp;C10)</f>
        <v>20565608</v>
      </c>
      <c r="F10" s="5" t="n">
        <f aca="false">D10-E10</f>
        <v>11234392</v>
      </c>
      <c r="G10" s="12" t="n">
        <f aca="false">G9+F10</f>
        <v>104797798</v>
      </c>
    </row>
    <row r="11" customFormat="false" ht="15" hidden="false" customHeight="false" outlineLevel="0" collapsed="false">
      <c r="A11" s="6" t="s">
        <v>82</v>
      </c>
      <c r="B11" s="11" t="n">
        <v>46082</v>
      </c>
      <c r="C11" s="11" t="n">
        <v>46112</v>
      </c>
      <c r="D11" s="5" t="n">
        <f aca="false">SUMIFS(거래내역!$E$2:$E$184,거래내역!$A$2:$A$184,"&gt;="&amp;B11,거래내역!$A$2:$A$184,"&lt;="&amp;C11)</f>
        <v>23116428</v>
      </c>
      <c r="E11" s="5" t="n">
        <f aca="false">SUMIFS(거래내역!$F$2:$F$184,거래내역!$A$2:$A$184,"&gt;="&amp;B11,거래내역!$A$2:$A$184,"&lt;="&amp;C11)</f>
        <v>21882013</v>
      </c>
      <c r="F11" s="5" t="n">
        <f aca="false">D11-E11</f>
        <v>1234415</v>
      </c>
      <c r="G11" s="12" t="n">
        <f aca="false">G10+F11</f>
        <v>106032213</v>
      </c>
    </row>
    <row r="12" customFormat="false" ht="15" hidden="false" customHeight="false" outlineLevel="0" collapsed="false">
      <c r="A12" s="6" t="s">
        <v>83</v>
      </c>
      <c r="B12" s="11" t="n">
        <v>46113</v>
      </c>
      <c r="C12" s="11" t="n">
        <v>46142</v>
      </c>
      <c r="D12" s="5" t="n">
        <f aca="false">SUMIFS(거래내역!$E$2:$E$184,거래내역!$A$2:$A$184,"&gt;="&amp;B12,거래내역!$A$2:$A$184,"&lt;="&amp;C12)</f>
        <v>22000000</v>
      </c>
      <c r="E12" s="5" t="n">
        <f aca="false">SUMIFS(거래내역!$F$2:$F$184,거래내역!$A$2:$A$184,"&gt;="&amp;B12,거래내역!$A$2:$A$184,"&lt;="&amp;C12)</f>
        <v>27746677</v>
      </c>
      <c r="F12" s="5" t="n">
        <f aca="false">D12-E12</f>
        <v>-5746677</v>
      </c>
      <c r="G12" s="12" t="n">
        <f aca="false">G11+F12</f>
        <v>100285536</v>
      </c>
    </row>
    <row r="13" customFormat="false" ht="15" hidden="false" customHeight="false" outlineLevel="0" collapsed="false">
      <c r="A13" s="6" t="s">
        <v>84</v>
      </c>
      <c r="B13" s="11" t="n">
        <v>46143</v>
      </c>
      <c r="C13" s="11" t="n">
        <v>46173</v>
      </c>
      <c r="D13" s="5" t="n">
        <f aca="false">SUMIFS(거래내역!$E$2:$E$184,거래내역!$A$2:$A$184,"&gt;="&amp;B13,거래내역!$A$2:$A$184,"&lt;="&amp;C13)</f>
        <v>14300000</v>
      </c>
      <c r="E13" s="5" t="n">
        <f aca="false">SUMIFS(거래내역!$F$2:$F$184,거래내역!$A$2:$A$184,"&gt;="&amp;B13,거래내역!$A$2:$A$184,"&lt;="&amp;C13)</f>
        <v>22166289</v>
      </c>
      <c r="F13" s="5" t="n">
        <f aca="false">D13-E13</f>
        <v>-7866289</v>
      </c>
      <c r="G13" s="12" t="n">
        <f aca="false">G12+F13</f>
        <v>92419247</v>
      </c>
    </row>
    <row r="14" customFormat="false" ht="15" hidden="false" customHeight="false" outlineLevel="0" collapsed="false">
      <c r="A14" s="6" t="s">
        <v>85</v>
      </c>
      <c r="B14" s="11" t="n">
        <v>46174</v>
      </c>
      <c r="C14" s="11" t="n">
        <v>46203</v>
      </c>
      <c r="D14" s="5" t="n">
        <f aca="false">SUMIFS(거래내역!$E$2:$E$184,거래내역!$A$2:$A$184,"&gt;="&amp;B14,거래내역!$A$2:$A$184,"&lt;="&amp;C14)</f>
        <v>11014554</v>
      </c>
      <c r="E14" s="5" t="n">
        <f aca="false">SUMIFS(거래내역!$F$2:$F$184,거래내역!$A$2:$A$184,"&gt;="&amp;B14,거래내역!$A$2:$A$184,"&lt;="&amp;C14)</f>
        <v>22473419</v>
      </c>
      <c r="F14" s="5" t="n">
        <f aca="false">D14-E14</f>
        <v>-11458865</v>
      </c>
      <c r="G14" s="12" t="n">
        <f aca="false">G13+F14</f>
        <v>80960382</v>
      </c>
    </row>
    <row r="15" customFormat="false" ht="15" hidden="false" customHeight="false" outlineLevel="0" collapsed="false">
      <c r="A15" s="6" t="s">
        <v>86</v>
      </c>
      <c r="B15" s="11" t="n">
        <v>46204</v>
      </c>
      <c r="C15" s="11" t="n">
        <v>46234</v>
      </c>
      <c r="D15" s="5" t="n">
        <f aca="false">SUMIFS(거래내역!$E$2:$E$184,거래내역!$A$2:$A$184,"&gt;="&amp;B15,거래내역!$A$2:$A$184,"&lt;="&amp;C15)</f>
        <v>9900000</v>
      </c>
      <c r="E15" s="5" t="n">
        <f aca="false">SUMIFS(거래내역!$F$2:$F$184,거래내역!$A$2:$A$184,"&gt;="&amp;B15,거래내역!$A$2:$A$184,"&lt;="&amp;C15)</f>
        <v>25144563</v>
      </c>
      <c r="F15" s="5" t="n">
        <f aca="false">D15-E15</f>
        <v>-15244563</v>
      </c>
      <c r="G15" s="12" t="n">
        <f aca="false">G14+F15</f>
        <v>65715819</v>
      </c>
    </row>
    <row r="16" customFormat="false" ht="15" hidden="false" customHeight="false" outlineLevel="0" collapsed="false">
      <c r="A16" s="6" t="s">
        <v>87</v>
      </c>
      <c r="B16" s="11" t="n">
        <v>46235</v>
      </c>
      <c r="C16" s="11" t="n">
        <v>46265</v>
      </c>
      <c r="D16" s="5" t="n">
        <f aca="false">SUMIFS(거래내역!$E$2:$E$184,거래내역!$A$2:$A$184,"&gt;="&amp;B16,거래내역!$A$2:$A$184,"&lt;="&amp;C16)</f>
        <v>11000000</v>
      </c>
      <c r="E16" s="5" t="n">
        <f aca="false">SUMIFS(거래내역!$F$2:$F$184,거래내역!$A$2:$A$184,"&gt;="&amp;B16,거래내역!$A$2:$A$184,"&lt;="&amp;C16)</f>
        <v>22422523</v>
      </c>
      <c r="F16" s="5" t="n">
        <f aca="false">D16-E16</f>
        <v>-11422523</v>
      </c>
      <c r="G16" s="12" t="n">
        <f aca="false">G15+F16</f>
        <v>54293296</v>
      </c>
    </row>
    <row r="17" customFormat="false" ht="15" hidden="false" customHeight="false" outlineLevel="0" collapsed="false">
      <c r="A17" s="13" t="s">
        <v>88</v>
      </c>
      <c r="B17" s="14"/>
      <c r="C17" s="14"/>
      <c r="D17" s="15" t="n">
        <f aca="false">SUM(D5:D16)</f>
        <v>247450614</v>
      </c>
      <c r="E17" s="15" t="n">
        <f aca="false">SUM(E5:E16)</f>
        <v>275157318</v>
      </c>
      <c r="F17" s="15" t="n">
        <f aca="false">SUM(F5:F16)</f>
        <v>-27706704</v>
      </c>
      <c r="G17" s="14"/>
    </row>
    <row r="18" customFormat="false" ht="15" hidden="false" customHeight="false" outlineLevel="0" collapsed="false">
      <c r="A18" s="9" t="s">
        <v>89</v>
      </c>
    </row>
    <row r="19" customFormat="false" ht="15" hidden="false" customHeight="false" outlineLevel="0" collapsed="false">
      <c r="A19" s="4" t="s">
        <v>90</v>
      </c>
      <c r="B19" s="16" t="n">
        <f aca="false">거래내역!G184</f>
        <v>54293296</v>
      </c>
    </row>
    <row r="20" customFormat="false" ht="15" hidden="false" customHeight="false" outlineLevel="0" collapsed="false">
      <c r="A20" s="4" t="s">
        <v>91</v>
      </c>
      <c r="B20" s="5" t="n">
        <f aca="false">AVERAGE(F14:F16)</f>
        <v>-12708650.3333333</v>
      </c>
    </row>
    <row r="21" customFormat="false" ht="15" hidden="false" customHeight="false" outlineLevel="0" collapsed="false">
      <c r="A21" s="4" t="s">
        <v>92</v>
      </c>
      <c r="B21" s="16" t="n">
        <f aca="false">IF(B20&lt;0,-B20,0)</f>
        <v>12708650.3333333</v>
      </c>
    </row>
    <row r="22" customFormat="false" ht="15" hidden="false" customHeight="false" outlineLevel="0" collapsed="false">
      <c r="A22" s="4" t="s">
        <v>93</v>
      </c>
      <c r="B22" s="17" t="n">
        <f aca="false">IF(B21&gt;0,ROUND(B19/B21,1),"해당 없음")</f>
        <v>4.3</v>
      </c>
    </row>
    <row r="23" customFormat="false" ht="15" hidden="false" customHeight="false" outlineLevel="0" collapsed="false">
      <c r="A23" s="4" t="s">
        <v>94</v>
      </c>
      <c r="B23" s="18" t="str">
        <f aca="false">IF(ISNUMBER(B22),IF(B22&lt;3,"위험",IF(B22&lt;6,"주의","안정")),"안정")</f>
        <v>주의</v>
      </c>
    </row>
    <row r="24" customFormat="false" ht="15" hidden="false" customHeight="false" outlineLevel="0" collapsed="false">
      <c r="A24" s="4" t="s">
        <v>95</v>
      </c>
      <c r="B24" s="19" t="s">
        <v>96</v>
      </c>
    </row>
    <row r="25" customFormat="false" ht="15" hidden="false" customHeight="false" outlineLevel="0" collapsed="false">
      <c r="A25" s="8" t="s">
        <v>97</v>
      </c>
    </row>
    <row r="27" customFormat="false" ht="15" hidden="false" customHeight="false" outlineLevel="0" collapsed="false">
      <c r="A27" s="9" t="s">
        <v>98</v>
      </c>
    </row>
    <row r="28" customFormat="false" ht="15" hidden="false" customHeight="false" outlineLevel="0" collapsed="false">
      <c r="A28" s="1" t="s">
        <v>2</v>
      </c>
      <c r="B28" s="1" t="s">
        <v>73</v>
      </c>
      <c r="C28" s="1" t="s">
        <v>99</v>
      </c>
    </row>
    <row r="29" customFormat="false" ht="15" hidden="false" customHeight="false" outlineLevel="0" collapsed="false">
      <c r="A29" s="4" t="s">
        <v>25</v>
      </c>
      <c r="B29" s="5" t="n">
        <f aca="false">SUMIFS(거래내역!$F$2:$F$184,거래내역!$C$2:$C$184,A29,거래내역!$A$2:$A$184,"&gt;="&amp;$B$14,거래내역!$A$2:$A$184,"&lt;="&amp;$C$16)</f>
        <v>37584000</v>
      </c>
      <c r="C29" s="20" t="n">
        <f aca="false">IF($B$38=0,0,B29/$B$38)</f>
        <v>0.536603783767693</v>
      </c>
    </row>
    <row r="30" customFormat="false" ht="15" hidden="false" customHeight="false" outlineLevel="0" collapsed="false">
      <c r="A30" s="4" t="s">
        <v>9</v>
      </c>
      <c r="B30" s="5" t="n">
        <f aca="false">SUMIFS(거래내역!$F$2:$F$184,거래내역!$C$2:$C$184,A30,거래내역!$A$2:$A$184,"&gt;="&amp;$B$14,거래내역!$A$2:$A$184,"&lt;="&amp;$C$16)</f>
        <v>5190000</v>
      </c>
      <c r="C30" s="20" t="n">
        <f aca="false">IF($B$38=0,0,B30/$B$38)</f>
        <v>0.0740999797188784</v>
      </c>
    </row>
    <row r="31" customFormat="false" ht="15" hidden="false" customHeight="false" outlineLevel="0" collapsed="false">
      <c r="A31" s="4" t="s">
        <v>23</v>
      </c>
      <c r="B31" s="5" t="n">
        <f aca="false">SUMIFS(거래내역!$F$2:$F$184,거래내역!$C$2:$C$184,A31,거래내역!$A$2:$A$184,"&gt;="&amp;$B$14,거래내역!$A$2:$A$184,"&lt;="&amp;$C$16)</f>
        <v>1614230</v>
      </c>
      <c r="C31" s="20" t="n">
        <f aca="false">IF($B$38=0,0,B31/$B$38)</f>
        <v>0.0230470925359547</v>
      </c>
    </row>
    <row r="32" customFormat="false" ht="15" hidden="false" customHeight="false" outlineLevel="0" collapsed="false">
      <c r="A32" s="4" t="s">
        <v>20</v>
      </c>
      <c r="B32" s="5" t="n">
        <f aca="false">SUMIFS(거래내역!$F$2:$F$184,거래내역!$C$2:$C$184,A32,거래내역!$A$2:$A$184,"&gt;="&amp;$B$14,거래내역!$A$2:$A$184,"&lt;="&amp;$C$16)</f>
        <v>8583190</v>
      </c>
      <c r="C32" s="20" t="n">
        <f aca="false">IF($B$38=0,0,B32/$B$38)</f>
        <v>0.122546089580593</v>
      </c>
    </row>
    <row r="33" customFormat="false" ht="15" hidden="false" customHeight="false" outlineLevel="0" collapsed="false">
      <c r="A33" s="4" t="s">
        <v>17</v>
      </c>
      <c r="B33" s="5" t="n">
        <f aca="false">SUMIFS(거래내역!$F$2:$F$184,거래내역!$C$2:$C$184,A33,거래내역!$A$2:$A$184,"&gt;="&amp;$B$14,거래내역!$A$2:$A$184,"&lt;="&amp;$C$16)</f>
        <v>2926500</v>
      </c>
      <c r="C33" s="20" t="n">
        <f aca="false">IF($B$38=0,0,B33/$B$38)</f>
        <v>0.0417829654426392</v>
      </c>
    </row>
    <row r="34" customFormat="false" ht="15" hidden="false" customHeight="false" outlineLevel="0" collapsed="false">
      <c r="A34" s="4" t="s">
        <v>15</v>
      </c>
      <c r="B34" s="5" t="n">
        <f aca="false">SUMIFS(거래내역!$F$2:$F$184,거래내역!$C$2:$C$184,A34,거래내역!$A$2:$A$184,"&gt;="&amp;$B$14,거래내역!$A$2:$A$184,"&lt;="&amp;$C$16)</f>
        <v>7290000</v>
      </c>
      <c r="C34" s="20" t="n">
        <f aca="false">IF($B$38=0,0,B34/$B$38)</f>
        <v>0.104082630472182</v>
      </c>
    </row>
    <row r="35" customFormat="false" ht="15" hidden="false" customHeight="false" outlineLevel="0" collapsed="false">
      <c r="A35" s="4" t="s">
        <v>30</v>
      </c>
      <c r="B35" s="5" t="n">
        <f aca="false">SUMIFS(거래내역!$F$2:$F$184,거래내역!$C$2:$C$184,A35,거래내역!$A$2:$A$184,"&gt;="&amp;$B$14,거래내역!$A$2:$A$184,"&lt;="&amp;$C$16)</f>
        <v>1650000</v>
      </c>
      <c r="C35" s="20" t="n">
        <f aca="false">IF($B$38=0,0,B35/$B$38)</f>
        <v>0.0235577970204527</v>
      </c>
    </row>
    <row r="36" customFormat="false" ht="15" hidden="false" customHeight="false" outlineLevel="0" collapsed="false">
      <c r="A36" s="4" t="s">
        <v>34</v>
      </c>
      <c r="B36" s="5" t="n">
        <f aca="false">SUMIFS(거래내역!$F$2:$F$184,거래내역!$C$2:$C$184,A36,거래내역!$A$2:$A$184,"&gt;="&amp;$B$14,거래내역!$A$2:$A$184,"&lt;="&amp;$C$16)</f>
        <v>0</v>
      </c>
      <c r="C36" s="20" t="n">
        <f aca="false">IF($B$38=0,0,B36/$B$38)</f>
        <v>0</v>
      </c>
    </row>
    <row r="37" customFormat="false" ht="15" hidden="false" customHeight="false" outlineLevel="0" collapsed="false">
      <c r="A37" s="4" t="s">
        <v>7</v>
      </c>
      <c r="B37" s="5" t="n">
        <f aca="false">SUMIFS(거래내역!$F$2:$F$184,거래내역!$C$2:$C$184,A37,거래내역!$A$2:$A$184,"&gt;="&amp;$B$14,거래내역!$A$2:$A$184,"&lt;="&amp;$C$16)</f>
        <v>5202585</v>
      </c>
      <c r="C37" s="20" t="n">
        <f aca="false">IF($B$38=0,0,B37/$B$38)</f>
        <v>0.0742796614616071</v>
      </c>
    </row>
    <row r="38" customFormat="false" ht="15" hidden="false" customHeight="false" outlineLevel="0" collapsed="false">
      <c r="A38" s="13" t="s">
        <v>88</v>
      </c>
      <c r="B38" s="21" t="n">
        <f aca="false">SUM(B29:B37)</f>
        <v>70040505</v>
      </c>
      <c r="C38" s="22" t="n">
        <f aca="false">SUM(C29:C37)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3" t="s">
        <v>100</v>
      </c>
    </row>
    <row r="2" customFormat="false" ht="15" hidden="false" customHeight="false" outlineLevel="0" collapsed="false">
      <c r="A2" s="24"/>
    </row>
    <row r="3" customFormat="false" ht="15" hidden="false" customHeight="false" outlineLevel="0" collapsed="false">
      <c r="A3" s="25" t="s">
        <v>101</v>
      </c>
    </row>
    <row r="4" customFormat="false" ht="15" hidden="false" customHeight="false" outlineLevel="0" collapsed="false">
      <c r="A4" s="24"/>
    </row>
    <row r="5" customFormat="false" ht="17.15" hidden="false" customHeight="false" outlineLevel="0" collapsed="false">
      <c r="A5" s="23" t="s">
        <v>102</v>
      </c>
    </row>
    <row r="6" customFormat="false" ht="15" hidden="false" customHeight="false" outlineLevel="0" collapsed="false">
      <c r="A6" s="24" t="s">
        <v>103</v>
      </c>
    </row>
    <row r="7" customFormat="false" ht="15" hidden="false" customHeight="false" outlineLevel="0" collapsed="false">
      <c r="A7" s="24" t="s">
        <v>104</v>
      </c>
    </row>
    <row r="8" customFormat="false" ht="15" hidden="false" customHeight="false" outlineLevel="0" collapsed="false">
      <c r="A8" s="24"/>
    </row>
    <row r="9" customFormat="false" ht="17.15" hidden="false" customHeight="false" outlineLevel="0" collapsed="false">
      <c r="A9" s="23" t="s">
        <v>105</v>
      </c>
    </row>
    <row r="10" customFormat="false" ht="15" hidden="false" customHeight="false" outlineLevel="0" collapsed="false">
      <c r="A10" s="24" t="s">
        <v>106</v>
      </c>
    </row>
    <row r="11" customFormat="false" ht="15" hidden="false" customHeight="false" outlineLevel="0" collapsed="false">
      <c r="A11" s="24" t="s">
        <v>107</v>
      </c>
    </row>
    <row r="12" customFormat="false" ht="15" hidden="false" customHeight="false" outlineLevel="0" collapsed="false">
      <c r="A12" s="24" t="s">
        <v>108</v>
      </c>
    </row>
    <row r="13" customFormat="false" ht="15" hidden="false" customHeight="false" outlineLevel="0" collapsed="false">
      <c r="A13" s="24" t="s">
        <v>109</v>
      </c>
    </row>
    <row r="14" customFormat="false" ht="15" hidden="false" customHeight="false" outlineLevel="0" collapsed="false">
      <c r="A14" s="24"/>
    </row>
    <row r="15" customFormat="false" ht="15" hidden="false" customHeight="false" outlineLevel="0" collapsed="false">
      <c r="A15" s="23" t="s">
        <v>110</v>
      </c>
    </row>
    <row r="16" customFormat="false" ht="15" hidden="false" customHeight="false" outlineLevel="0" collapsed="false">
      <c r="A16" s="24" t="s">
        <v>111</v>
      </c>
    </row>
    <row r="17" customFormat="false" ht="15" hidden="false" customHeight="false" outlineLevel="0" collapsed="false">
      <c r="A17" s="24" t="s">
        <v>112</v>
      </c>
    </row>
    <row r="18" customFormat="false" ht="15" hidden="false" customHeight="false" outlineLevel="0" collapsed="false">
      <c r="A18" s="24" t="s">
        <v>113</v>
      </c>
    </row>
    <row r="19" customFormat="false" ht="15" hidden="false" customHeight="false" outlineLevel="0" collapsed="false">
      <c r="A19" s="24"/>
    </row>
    <row r="20" customFormat="false" ht="17.15" hidden="false" customHeight="false" outlineLevel="0" collapsed="false">
      <c r="A20" s="23" t="s">
        <v>114</v>
      </c>
    </row>
    <row r="21" customFormat="false" ht="15" hidden="false" customHeight="false" outlineLevel="0" collapsed="false">
      <c r="A21" s="24" t="s">
        <v>115</v>
      </c>
    </row>
    <row r="22" customFormat="false" ht="15" hidden="false" customHeight="false" outlineLevel="0" collapsed="false">
      <c r="A22" s="24" t="s">
        <v>116</v>
      </c>
    </row>
    <row r="23" customFormat="false" ht="15" hidden="false" customHeight="false" outlineLevel="0" collapsed="false">
      <c r="A23" s="24" t="s">
        <v>117</v>
      </c>
    </row>
    <row r="24" customFormat="false" ht="15" hidden="false" customHeight="false" outlineLevel="0" collapsed="false">
      <c r="A24" s="24"/>
    </row>
    <row r="25" customFormat="false" ht="15" hidden="false" customHeight="false" outlineLevel="0" collapsed="false">
      <c r="A25" s="23" t="s">
        <v>118</v>
      </c>
    </row>
    <row r="26" customFormat="false" ht="15" hidden="false" customHeight="false" outlineLevel="0" collapsed="false">
      <c r="A26" s="24" t="s">
        <v>119</v>
      </c>
    </row>
    <row r="27" customFormat="false" ht="15" hidden="false" customHeight="false" outlineLevel="0" collapsed="false">
      <c r="A27" s="24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2026-09-03T16:24:53Z</dcterms:created>
  <dc:creator>openpyxl</dc:creator>
  <dc:description/>
  <dc:language>en-US</dc:language>
  <cp:lastModifiedBy/>
  <dcterms:modified xsi:type="dcterms:W3CDTF">2026-09-03T16:24:53Z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